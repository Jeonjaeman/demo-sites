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imgangyong/packnfly-landing/docs/01_RFQ/"/>
    </mc:Choice>
  </mc:AlternateContent>
  <xr:revisionPtr revIDLastSave="0" documentId="13_ncr:1_{CB974085-50B5-FD44-858C-7DC4388CF0A6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packnfly 예약" sheetId="1" r:id="rId1"/>
  </sheets>
  <definedNames>
    <definedName name="_xlnm._FilterDatabase" localSheetId="0" hidden="1">'packnfly 예약'!$A$5:$Z$46</definedName>
  </definedNames>
  <calcPr calcId="0"/>
</workbook>
</file>

<file path=xl/sharedStrings.xml><?xml version="1.0" encoding="utf-8"?>
<sst xmlns="http://schemas.openxmlformats.org/spreadsheetml/2006/main" count="491" uniqueCount="291">
  <si>
    <t>Pack&amp;Fly 예약 관리</t>
  </si>
  <si>
    <t>기준일 2026-06-28 | 요금: 편도 짐 1개당 ₩10,000 (첫출시 특가, 정상가 ₩22,000) / 다회·대량은 묶음 견적</t>
  </si>
  <si>
    <t>합계</t>
  </si>
  <si>
    <t>확정분 합계</t>
  </si>
  <si>
    <t>접수시각</t>
  </si>
  <si>
    <t>상태</t>
  </si>
  <si>
    <t>손님명</t>
  </si>
  <si>
    <t>방향</t>
  </si>
  <si>
    <t>픽업일</t>
  </si>
  <si>
    <t>픽업시간</t>
  </si>
  <si>
    <t>도착시간</t>
  </si>
  <si>
    <t>출발지(픽업)</t>
  </si>
  <si>
    <t>도착지(전달)</t>
  </si>
  <si>
    <t>보관가능</t>
  </si>
  <si>
    <t>짐</t>
  </si>
  <si>
    <t>금액(₩)</t>
  </si>
  <si>
    <t>결제</t>
  </si>
  <si>
    <t>항공편</t>
  </si>
  <si>
    <t>이메일</t>
  </si>
  <si>
    <t>전화</t>
  </si>
  <si>
    <t>닉네임</t>
  </si>
  <si>
    <t>언어</t>
  </si>
  <si>
    <t>EMS 관심</t>
  </si>
  <si>
    <t>합포장 관심</t>
  </si>
  <si>
    <t>비고</t>
  </si>
  <si>
    <t>유입 referrer</t>
  </si>
  <si>
    <t>source</t>
  </si>
  <si>
    <t>medium</t>
  </si>
  <si>
    <t>campaign</t>
  </si>
  <si>
    <t>랜딩페이지</t>
  </si>
  <si>
    <t>☑️완료</t>
  </si>
  <si>
    <t>游**</t>
  </si>
  <si>
    <t>숙소→공항</t>
  </si>
  <si>
    <t>20:00예상</t>
  </si>
  <si>
    <t>광안리 민락수변로XX</t>
  </si>
  <si>
    <t>김해공항 국제선</t>
  </si>
  <si>
    <t>4개</t>
  </si>
  <si>
    <t>현금</t>
  </si>
  <si>
    <t>ZE983 22:00</t>
  </si>
  <si>
    <t>도착시간 확인 / 전달지점 확정필요</t>
  </si>
  <si>
    <t>紫**</t>
  </si>
  <si>
    <t>RUNA Stay 해운대 (무인·비번)</t>
  </si>
  <si>
    <t>캐리어3</t>
  </si>
  <si>
    <t>CI191 10:40</t>
  </si>
  <si>
    <t>일행상의 후 픽업시간 연락예정 / 단가특례(안내실수분)</t>
  </si>
  <si>
    <t>Y*******</t>
  </si>
  <si>
    <t>중구 부평동XX가 XX 로얄스카이캐슬</t>
  </si>
  <si>
    <t>7개(캐리온3+대형핸드4)</t>
  </si>
  <si>
    <t>PayPal</t>
  </si>
  <si>
    <t>IT607 22:00</t>
  </si>
  <si>
    <t xml:space="preserve">수거시간 대기 / 할증없음(35분) </t>
  </si>
  <si>
    <t>张**</t>
  </si>
  <si>
    <t>송정동 XX Songjeongjungan…</t>
  </si>
  <si>
    <t>2개</t>
  </si>
  <si>
    <t>PayPal/현금(미정)</t>
  </si>
  <si>
    <t>7C6153 22:00</t>
  </si>
  <si>
    <t>대만달러 이체불가 안내함/결제수단 미확정/지연양해메시지보냄</t>
  </si>
  <si>
    <t>W**************</t>
  </si>
  <si>
    <t>부산 해운대구 구남로 XX</t>
  </si>
  <si>
    <t>4개(29인치2+20인치2)</t>
  </si>
  <si>
    <t>z**</t>
  </si>
  <si>
    <t>紫Hua/주소·시간정정완료/내일아침리마인드</t>
  </si>
  <si>
    <t>宇**</t>
  </si>
  <si>
    <t>공항→숙소</t>
  </si>
  <si>
    <t>6:45~7:00</t>
  </si>
  <si>
    <t>16:00~17:00</t>
  </si>
  <si>
    <t>김해공항 입국장</t>
  </si>
  <si>
    <t>XX Choryangnam-ro XXbe…</t>
  </si>
  <si>
    <t>7개</t>
  </si>
  <si>
    <t>미정</t>
  </si>
  <si>
    <t>ZE988 06:05</t>
  </si>
  <si>
    <t>★3트립①/새벽픽업/체크인까지보관/주소·이사시간대기</t>
  </si>
  <si>
    <t>黃**</t>
  </si>
  <si>
    <t>해운대구 해운대해변로XX번길XX Prug…</t>
  </si>
  <si>
    <t>5개(29인치1+24인치2+기내2)</t>
  </si>
  <si>
    <t>이환담당/민박대면수거/공항18:30전달4번게이트</t>
  </si>
  <si>
    <t>숙소→숙소</t>
  </si>
  <si>
    <t>11:00 이후</t>
  </si>
  <si>
    <t>XX Seojeon-ro XXbeon-g…</t>
  </si>
  <si>
    <t>X</t>
  </si>
  <si>
    <t>★3트립②/이사</t>
  </si>
  <si>
    <t>❌취소</t>
  </si>
  <si>
    <t>郭**</t>
  </si>
  <si>
    <t>수영구 민락수변로XX(광안리)</t>
  </si>
  <si>
    <t>28인치2+20인치1(3개)</t>
  </si>
  <si>
    <t>IT607 21:05</t>
  </si>
  <si>
    <t>芳**</t>
  </si>
  <si>
    <t>宇恆③(16:00~17:00)이랑 시간 안겹침/공항전달시간 손님답 대기</t>
  </si>
  <si>
    <t>ZE987 22:10</t>
  </si>
  <si>
    <t>高**</t>
  </si>
  <si>
    <t>06:30~</t>
  </si>
  <si>
    <t>16:00전</t>
  </si>
  <si>
    <t>수영로XX번길 XX (연온담 광안역점, …</t>
  </si>
  <si>
    <t>7C6154 06:10</t>
  </si>
  <si>
    <t>C******</t>
  </si>
  <si>
    <t>새벽건/1층보관/손님16:00도착전전달</t>
  </si>
  <si>
    <t>A*******************</t>
  </si>
  <si>
    <t>09:00~10:00</t>
  </si>
  <si>
    <t>Toyoko Inn Busan Haeun…</t>
  </si>
  <si>
    <t>김해공항 국제선 2층 Gate 3</t>
  </si>
  <si>
    <t>S×1+M×1(2개)</t>
  </si>
  <si>
    <t>PayPal($20/인보이스#0002)</t>
  </si>
  <si>
    <t>PR463 21:00</t>
  </si>
  <si>
    <t>J***</t>
  </si>
  <si>
    <t>필리핀여행사대표/AI유입/첫홈페이지예약/소형백랩핑=공항3층안내/비대면수거/WhatsApp***</t>
  </si>
  <si>
    <t>L***********</t>
  </si>
  <si>
    <t>JB Design hotel 부산광역시 …</t>
  </si>
  <si>
    <t>도착:front</t>
  </si>
  <si>
    <t>2026-07-10 7C6154</t>
  </si>
  <si>
    <t>bt***@gmail.com</t>
  </si>
  <si>
    <t>+886 *******386</t>
  </si>
  <si>
    <t>b*******</t>
  </si>
  <si>
    <t>zh-TW</t>
  </si>
  <si>
    <t>飯店訂房名稱 CHEN KE WEI</t>
  </si>
  <si>
    <t>L*********</t>
  </si>
  <si>
    <t>라마다 앙코르 바이 윈덤 부산 해운대</t>
  </si>
  <si>
    <t>28인치 6개</t>
  </si>
  <si>
    <t>S****</t>
  </si>
  <si>
    <t>11:00픽업→19:00전달 / 전날·당일 리마인드 / ★수거사진필수 / 6~10인단체리더(재구매↑)</t>
  </si>
  <si>
    <t>C***********</t>
  </si>
  <si>
    <t>17:00 前</t>
  </si>
  <si>
    <t>하모니타워마브러스(Harmony Towe…</t>
  </si>
  <si>
    <t>김해공항 국제선 (Gate 4)</t>
  </si>
  <si>
    <t>당일현장확정(3~4개)</t>
  </si>
  <si>
    <t>당일청구(30,000~40,000)</t>
  </si>
  <si>
    <t>현금 또는 PayPal</t>
  </si>
  <si>
    <t>CI187 20:00</t>
  </si>
  <si>
    <t>Sandy 소개 / 짐 개수 당일 공항 실측 후 청구 / 프런트 보관여부 확인대기 / 전날·당일 리마인드</t>
  </si>
  <si>
    <t>W**********</t>
  </si>
  <si>
    <t>송정 The Coolest Hotel (…</t>
  </si>
  <si>
    <t>Onuji Stay(광안리) (대면)</t>
  </si>
  <si>
    <t>송정:프런트보관 / Onuji:보관 X(현장)</t>
  </si>
  <si>
    <t>2개(28인치)</t>
  </si>
  <si>
    <t>-</t>
  </si>
  <si>
    <t>王**</t>
  </si>
  <si>
    <t>11시수거→16~17시전달/약5~6시간보관</t>
  </si>
  <si>
    <t>又**</t>
  </si>
  <si>
    <t xml:space="preserve">보관 </t>
  </si>
  <si>
    <t>부산 동영로 XX XX층</t>
  </si>
  <si>
    <t>김해공항 국제선 Gate 3</t>
  </si>
  <si>
    <t>X(에어비앤비,호스트협의中)</t>
  </si>
  <si>
    <t>6개</t>
  </si>
  <si>
    <t>현금(한화) 또는 PayPal</t>
  </si>
  <si>
    <t>ZE983 22:20</t>
  </si>
  <si>
    <t>에어비앤비=프런트無, 호스트협의中(도어락/열쇠 확보시 유연수거·불가시 11시 대면) / 에어비앤비 주소 대기 / 게이트3 정정완료 / ★7/14 王語琪(C)와 동선겹침·차1대·외주검토</t>
  </si>
  <si>
    <t>11:00(보관 X)</t>
  </si>
  <si>
    <t>부산 수영구 민락로XX번길 XX (XX층…</t>
  </si>
  <si>
    <t>에어비앤비(핵심타겟) / 공항도착 19~20시</t>
  </si>
  <si>
    <t>W************</t>
  </si>
  <si>
    <t>보관 가능</t>
  </si>
  <si>
    <t>Hotel Foret Premier Na…</t>
  </si>
  <si>
    <t>24인치2개</t>
  </si>
  <si>
    <t>LJ752 06:15</t>
  </si>
  <si>
    <t>새벽도착/호텔프런트/라벨:WU CHENG CHUN/전달시간 답대기</t>
  </si>
  <si>
    <t>趙**</t>
  </si>
  <si>
    <t>송정 The Coolest Hotel</t>
  </si>
  <si>
    <t>Roha Pool Villa(민락수변로 …</t>
  </si>
  <si>
    <t>출발:프런트보관O / 도착:호스트비번O(당일11시)</t>
  </si>
  <si>
    <t>7개(26~30인치6+기내용1)</t>
  </si>
  <si>
    <t>PayPal링크($46.60) 발송완료</t>
  </si>
  <si>
    <t>★비대면전달(호스트 대문비번, 당일아침 손님이 LINE전달) / 전달후 사진발송 필수 / 송정=프런트보관 수거(대면X) / 원거리할증없음 / 전날·당일 리마인드</t>
  </si>
  <si>
    <t>閔**</t>
  </si>
  <si>
    <t>바로</t>
  </si>
  <si>
    <t>광안KCC스위첸 XX(문앞)</t>
  </si>
  <si>
    <t>A****</t>
  </si>
  <si>
    <t xml:space="preserve">새벽건/문앞두고사진/방번호당일확인/집주인이방내부이동 </t>
  </si>
  <si>
    <t>T**********</t>
  </si>
  <si>
    <t>ASTI Hotel Busan Stati…</t>
  </si>
  <si>
    <t>출발:front</t>
  </si>
  <si>
    <t>₩20,000 (launch, reg. ₩57,000)</t>
  </si>
  <si>
    <t>2026-07-20 BR163 19:10</t>
  </si>
  <si>
    <t>sw***@gmail.com</t>
  </si>
  <si>
    <t>+886 ******887</t>
  </si>
  <si>
    <t>프런트보관 수거(대면X) / 현금 최종선택(PayPal 인보이스 #QDLJ3BES2SUDRUXA 발송했으나 손님이 현금으로 변경) / 공항 도착 전 LINE 연락 / 전날·당일 리마인드</t>
  </si>
  <si>
    <t>W*************</t>
  </si>
  <si>
    <t>XX층, XX Nam-ro XXbeon-…</t>
  </si>
  <si>
    <t>X(에어비앤비,프런트無)→11시 손님대면전달</t>
  </si>
  <si>
    <t>확인中(현금 or PayPal)</t>
  </si>
  <si>
    <t>TW639(시간미정)</t>
  </si>
  <si>
    <t>wi***@gmail.com</t>
  </si>
  <si>
    <t>#ERROR!</t>
  </si>
  <si>
    <t>w***********</t>
  </si>
  <si>
    <t>★에어비앤비=프런트無, 11시 손님직접 대면전달 / TW639 출발시간미정→손님이 공항향할때 통보, 도착후 LINE주면 5~10분내 3번게이트 전달 / ★7/20 TSAI YICHEN(A·3개)과 같은날, 적재10개 / 전날·당일 리마인드</t>
  </si>
  <si>
    <t>M*****</t>
  </si>
  <si>
    <t>Cozybay, 수영구 광안로XX번길 X…</t>
  </si>
  <si>
    <t>출발:Daisy와 동일장소 대문9981*(폼엔front, 확인要)</t>
  </si>
  <si>
    <t>미정(현금 or PayPal)</t>
  </si>
  <si>
    <t>CI187</t>
  </si>
  <si>
    <t>ta***@gmail.com</t>
  </si>
  <si>
    <t>+886 ******509</t>
  </si>
  <si>
    <t>t******</t>
  </si>
  <si>
    <t>★Daisy 친구, 같은 Cozybay 동시수거(대문9981*) / 공항전달 17:10, 출발시 LINE→도착후 5~10분내 3번게이트 / 폼엔front지만 Daisy는 무인이라함→수거방식 확인要 / 전날·당일 리마인드</t>
  </si>
  <si>
    <t>/booking</t>
  </si>
  <si>
    <t>D****</t>
  </si>
  <si>
    <t>Cozybay 에어비앤비, 수영구 광안로…</t>
  </si>
  <si>
    <t>Napori 빌딩 XX층, 광안해변로XX…</t>
  </si>
  <si>
    <t>출발:무인(대문9981*,테라스옆) / 도착:무인(대문2114*,4층액자사진숙소)</t>
  </si>
  <si>
    <t>PayPal 선결제(비대면)</t>
  </si>
  <si>
    <t>★양쪽 비대면. 수거:Cozybay 대문9981* 테라스옆 / 전달:Napori 4층 대문2114* 복도 액자사진숙소. 당일 짐사진 받기로 / 전달후 사진발송 / ★Ms Lin(친구,A)과 같은 Cozybay 동시수거</t>
  </si>
  <si>
    <t>김해공항국제선</t>
  </si>
  <si>
    <t>공항도착시간 가까워서확인</t>
  </si>
  <si>
    <t>亞**</t>
  </si>
  <si>
    <t>16:30~17:00</t>
  </si>
  <si>
    <t>Podium Prestige Airbnb…</t>
  </si>
  <si>
    <t>29인치4개</t>
  </si>
  <si>
    <t>CI0187 20:00</t>
  </si>
  <si>
    <t>7/21B방향보류(일정변동가능)/08:30에어비앤비대면수거</t>
  </si>
  <si>
    <t>許**</t>
  </si>
  <si>
    <t>阿爾班飯店 XX Jungang-daero…</t>
  </si>
  <si>
    <t>₩20,000 (launch, reg. ₩38,000)</t>
  </si>
  <si>
    <t xml:space="preserve">현금 </t>
  </si>
  <si>
    <t>2026-07-25 7C6153</t>
  </si>
  <si>
    <t>yd***@gmail.com</t>
  </si>
  <si>
    <t>+886 *******800</t>
  </si>
  <si>
    <t>y***</t>
  </si>
  <si>
    <t>劉**</t>
  </si>
  <si>
    <t>해운대 Hotel Haeundae Ely…</t>
  </si>
  <si>
    <t>남포 The Last Hotel Namp…</t>
  </si>
  <si>
    <t>3개</t>
  </si>
  <si>
    <t>PayPal/현금</t>
  </si>
  <si>
    <t>映****</t>
  </si>
  <si>
    <t>戴**</t>
  </si>
  <si>
    <t>Ocean The Point Hotel …</t>
  </si>
  <si>
    <t>Notte La Mia Hotel XX,…</t>
  </si>
  <si>
    <t>출발:front / 도착:front</t>
  </si>
  <si>
    <t>₩30,000（開幕優惠，原價 ₩57,000）</t>
  </si>
  <si>
    <t xml:space="preserve"> </t>
  </si>
  <si>
    <t>89***@gmail.com</t>
  </si>
  <si>
    <t>+886 *******697</t>
  </si>
  <si>
    <t>8**********</t>
  </si>
  <si>
    <t>/</t>
  </si>
  <si>
    <t>Carib Hotel 올라호텔 (OLLA…</t>
  </si>
  <si>
    <t>₩70,000 (launch, reg. ₩105,000)</t>
  </si>
  <si>
    <t>현금 우선(₩70,000), 부족시 PayPal 카드</t>
  </si>
  <si>
    <t>2026-07-27 7C6153 22:00</t>
  </si>
  <si>
    <t>le***@gmail.com</t>
  </si>
  <si>
    <t>+886 ******880</t>
  </si>
  <si>
    <t>l**************</t>
  </si>
  <si>
    <t>張**</t>
  </si>
  <si>
    <t>XX, Jeonpo-daero XXbeo…</t>
  </si>
  <si>
    <t>출발:none</t>
  </si>
  <si>
    <t>2026-07-27 LJ751</t>
  </si>
  <si>
    <t>gc***@gmail.com</t>
  </si>
  <si>
    <t>+886 ******110</t>
  </si>
  <si>
    <t>b**********</t>
  </si>
  <si>
    <t>chatgpt.com</t>
  </si>
  <si>
    <t>/?utm_source=chatgpt.com</t>
  </si>
  <si>
    <t>蔡**</t>
  </si>
  <si>
    <t>Manoa Stay XX Daeyeong…</t>
  </si>
  <si>
    <t>2026-07-28 O4P42C</t>
  </si>
  <si>
    <t>ba***@gmail.com</t>
  </si>
  <si>
    <t>+886 *935-873-768</t>
  </si>
  <si>
    <t>a*********</t>
  </si>
  <si>
    <t>https://www.google.com/</t>
  </si>
  <si>
    <t>✅확정</t>
  </si>
  <si>
    <t>L*******</t>
  </si>
  <si>
    <t>광안해변로 XX, 수영구 (Lazy Mo…</t>
  </si>
  <si>
    <t>29인치3개</t>
  </si>
  <si>
    <t>J*****</t>
  </si>
  <si>
    <t>미정(손님20:00귀관예정)</t>
  </si>
  <si>
    <t>Grand Moment 청년여관(남구 대…</t>
  </si>
  <si>
    <t>25인치+20인치(2개)</t>
  </si>
  <si>
    <t>ZE984 06:10</t>
  </si>
  <si>
    <t>대면기본/프런트있으면비대면가능/광안대교불꽃놀이날</t>
  </si>
  <si>
    <t>9:00수거/공항전달시간손님도착맞춰</t>
  </si>
  <si>
    <t>⏳진행</t>
  </si>
  <si>
    <t>J****</t>
  </si>
  <si>
    <t>광안리(수영구) 수영로XX번길 XX</t>
  </si>
  <si>
    <t>LJ751 22:00</t>
  </si>
  <si>
    <t>가예약/★7개=적재빠듯 / 8월초우리가먼저연락→확정 / 캘린더8/1알림</t>
  </si>
  <si>
    <t>簡**</t>
  </si>
  <si>
    <t>Aank Resort &amp; Spa Busa…</t>
  </si>
  <si>
    <t>Midpoint Guesthouse XX…</t>
  </si>
  <si>
    <t>₩20,000（開幕優惠，原價 ₩38,000）</t>
  </si>
  <si>
    <t>결제 전</t>
  </si>
  <si>
    <t>jo***@gmail.com</t>
  </si>
  <si>
    <t>+886 ******109</t>
  </si>
  <si>
    <t>莉**</t>
  </si>
  <si>
    <t>오시리아 Y Collection by U…</t>
  </si>
  <si>
    <t>비용확정·시간만대기 / ★원거리할증+15,000포함 / ★수거18시前필수(공항1h거리) / 손님이임박해서연락주기로 / 8월초우리가리마인드</t>
  </si>
  <si>
    <t>H***********</t>
  </si>
  <si>
    <t>07:00~08:00</t>
  </si>
  <si>
    <t>수영구 민락동XX J&amp;B민박</t>
  </si>
  <si>
    <t>7개(잠정/확정대기)</t>
  </si>
  <si>
    <t>LJ751+ZE983 22:00</t>
  </si>
  <si>
    <t>H***</t>
  </si>
  <si>
    <t>짐개수미확정/대면수거/2편항공</t>
  </si>
  <si>
    <t>1***</t>
  </si>
  <si>
    <t>Marant Residence Hotel…</t>
  </si>
  <si>
    <t>JX903, 18:55</t>
  </si>
  <si>
    <t>가예약/호텔프런트보관 / 9월초가까워지면시간확인 / 부산역=할증없음	(대기)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</si>
</sst>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&quot;₩&quot;#,##0"/>
    <numFmt numFmtId="177" formatCode="yyyy\.\ m\.\ d"/>
    <numFmt numFmtId="178" formatCode="m/d/yyyy\ h:mm:ss"/>
    <numFmt numFmtId="179" formatCode="yyyy\.\ mm\.\ dd"/>
    <numFmt numFmtId="180" formatCode="yyyy\-mm\-dd"/>
  </numFmts>
  <fonts count="13">
    <font>
      <sz val="10"/>
      <color rgb="FF000000"/>
      <name val="Arial"/>
      <scheme val="minor"/>
    </font>
    <font>
      <b/>
      <sz val="16"/>
      <color rgb="FFFFFFFF"/>
      <name val="Arial"/>
    </font>
    <font>
      <sz val="10"/>
      <color theme="1"/>
      <name val="Arial"/>
      <family val="2"/>
      <scheme val="minor"/>
    </font>
    <font>
      <i/>
      <sz val="9"/>
      <color rgb="FF000000"/>
      <name val="&quot;Noto Sans CJK SC&quot;"/>
    </font>
    <font>
      <sz val="10"/>
      <color rgb="FF000000"/>
      <name val="Arial"/>
      <family val="2"/>
    </font>
    <font>
      <b/>
      <sz val="10"/>
      <color rgb="FFFFFFFF"/>
      <name val="&quot;Noto Sans CJK SC&quot;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&quot;Noto Sans CJK SC&quot;"/>
    </font>
    <font>
      <b/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rgb="FF000000"/>
      <name val="&quot;Noto Sans CJK SC&quot;"/>
    </font>
    <font>
      <sz val="8"/>
      <name val="Arial"/>
      <family val="3"/>
      <charset val="129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2E5496"/>
        <bgColor rgb="FF2E5496"/>
      </patternFill>
    </fill>
    <fill>
      <patternFill patternType="solid">
        <fgColor rgb="FFB7B7B7"/>
        <bgColor rgb="FFB7B7B7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theme="0" tint="-0.249977111117893"/>
        <bgColor rgb="FFD6E4F0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CFE2F3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2" borderId="0" xfId="0" applyFont="1" applyFill="1" applyAlignment="1">
      <alignment horizontal="left"/>
    </xf>
    <xf numFmtId="0" fontId="2" fillId="0" borderId="0" xfId="0" applyFont="1"/>
    <xf numFmtId="0" fontId="3" fillId="3" borderId="0" xfId="0" applyFont="1" applyFill="1" applyAlignment="1">
      <alignment horizontal="left"/>
    </xf>
    <xf numFmtId="0" fontId="4" fillId="2" borderId="1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right"/>
    </xf>
    <xf numFmtId="0" fontId="5" fillId="2" borderId="3" xfId="0" applyFont="1" applyFill="1" applyBorder="1" applyAlignment="1">
      <alignment horizontal="right"/>
    </xf>
    <xf numFmtId="3" fontId="6" fillId="2" borderId="1" xfId="0" applyNumberFormat="1" applyFont="1" applyFill="1" applyBorder="1" applyAlignment="1">
      <alignment horizontal="right"/>
    </xf>
    <xf numFmtId="0" fontId="4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right"/>
    </xf>
    <xf numFmtId="0" fontId="5" fillId="4" borderId="3" xfId="0" applyFont="1" applyFill="1" applyBorder="1" applyAlignment="1">
      <alignment horizontal="right"/>
    </xf>
    <xf numFmtId="3" fontId="6" fillId="4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7" fillId="5" borderId="1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177" fontId="4" fillId="5" borderId="0" xfId="0" applyNumberFormat="1" applyFont="1" applyFill="1" applyAlignment="1">
      <alignment horizontal="center"/>
    </xf>
    <xf numFmtId="20" fontId="4" fillId="5" borderId="0" xfId="0" applyNumberFormat="1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4" fillId="5" borderId="0" xfId="0" applyFont="1" applyFill="1" applyAlignment="1">
      <alignment horizontal="left"/>
    </xf>
    <xf numFmtId="0" fontId="8" fillId="5" borderId="0" xfId="0" applyFont="1" applyFill="1" applyAlignment="1">
      <alignment horizontal="left"/>
    </xf>
    <xf numFmtId="3" fontId="7" fillId="5" borderId="1" xfId="0" applyNumberFormat="1" applyFont="1" applyFill="1" applyBorder="1" applyAlignment="1">
      <alignment horizontal="right"/>
    </xf>
    <xf numFmtId="0" fontId="8" fillId="5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left"/>
    </xf>
    <xf numFmtId="0" fontId="4" fillId="5" borderId="1" xfId="0" applyFont="1" applyFill="1" applyBorder="1" applyAlignment="1">
      <alignment horizontal="left"/>
    </xf>
    <xf numFmtId="0" fontId="2" fillId="5" borderId="1" xfId="0" applyFont="1" applyFill="1" applyBorder="1"/>
    <xf numFmtId="177" fontId="4" fillId="5" borderId="1" xfId="0" applyNumberFormat="1" applyFont="1" applyFill="1" applyBorder="1" applyAlignment="1">
      <alignment horizontal="center"/>
    </xf>
    <xf numFmtId="21" fontId="4" fillId="5" borderId="1" xfId="0" applyNumberFormat="1" applyFont="1" applyFill="1" applyBorder="1" applyAlignment="1">
      <alignment horizontal="center"/>
    </xf>
    <xf numFmtId="20" fontId="4" fillId="5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7" fillId="6" borderId="1" xfId="0" applyFont="1" applyFill="1" applyBorder="1" applyAlignment="1">
      <alignment horizontal="center"/>
    </xf>
    <xf numFmtId="177" fontId="4" fillId="6" borderId="1" xfId="0" applyNumberFormat="1" applyFont="1" applyFill="1" applyBorder="1" applyAlignment="1">
      <alignment horizontal="center"/>
    </xf>
    <xf numFmtId="20" fontId="4" fillId="6" borderId="1" xfId="0" applyNumberFormat="1" applyFont="1" applyFill="1" applyBorder="1" applyAlignment="1">
      <alignment horizontal="center"/>
    </xf>
    <xf numFmtId="0" fontId="4" fillId="6" borderId="1" xfId="0" applyFont="1" applyFill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3" fontId="7" fillId="6" borderId="1" xfId="0" applyNumberFormat="1" applyFont="1" applyFill="1" applyBorder="1" applyAlignment="1">
      <alignment horizontal="right"/>
    </xf>
    <xf numFmtId="180" fontId="2" fillId="0" borderId="0" xfId="0" applyNumberFormat="1" applyFont="1"/>
    <xf numFmtId="20" fontId="2" fillId="0" borderId="0" xfId="0" applyNumberFormat="1" applyFont="1"/>
    <xf numFmtId="177" fontId="4" fillId="7" borderId="0" xfId="0" applyNumberFormat="1" applyFont="1" applyFill="1" applyAlignment="1">
      <alignment horizontal="center"/>
    </xf>
    <xf numFmtId="0" fontId="4" fillId="7" borderId="0" xfId="0" applyFont="1" applyFill="1" applyAlignment="1">
      <alignment horizontal="left"/>
    </xf>
    <xf numFmtId="178" fontId="2" fillId="0" borderId="0" xfId="0" applyNumberFormat="1" applyFont="1"/>
    <xf numFmtId="0" fontId="2" fillId="0" borderId="0" xfId="0" quotePrefix="1" applyFont="1"/>
    <xf numFmtId="0" fontId="4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8" fillId="7" borderId="0" xfId="0" applyFont="1" applyFill="1" applyAlignment="1">
      <alignment horizontal="left"/>
    </xf>
    <xf numFmtId="3" fontId="7" fillId="7" borderId="0" xfId="0" applyNumberFormat="1" applyFont="1" applyFill="1" applyAlignment="1">
      <alignment horizontal="right"/>
    </xf>
    <xf numFmtId="0" fontId="11" fillId="7" borderId="0" xfId="0" applyFont="1" applyFill="1" applyAlignment="1">
      <alignment horizontal="center"/>
    </xf>
    <xf numFmtId="21" fontId="4" fillId="7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center"/>
    </xf>
    <xf numFmtId="0" fontId="11" fillId="8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177" fontId="4" fillId="8" borderId="0" xfId="0" applyNumberFormat="1" applyFont="1" applyFill="1" applyAlignment="1">
      <alignment horizontal="center"/>
    </xf>
    <xf numFmtId="0" fontId="4" fillId="8" borderId="0" xfId="0" applyFont="1" applyFill="1" applyAlignment="1">
      <alignment horizontal="left"/>
    </xf>
    <xf numFmtId="0" fontId="8" fillId="8" borderId="0" xfId="0" applyFont="1" applyFill="1" applyAlignment="1">
      <alignment horizontal="left"/>
    </xf>
    <xf numFmtId="3" fontId="7" fillId="8" borderId="0" xfId="0" applyNumberFormat="1" applyFont="1" applyFill="1" applyAlignment="1">
      <alignment horizontal="right"/>
    </xf>
    <xf numFmtId="0" fontId="2" fillId="8" borderId="0" xfId="0" applyFont="1" applyFill="1"/>
    <xf numFmtId="0" fontId="7" fillId="8" borderId="0" xfId="0" applyFont="1" applyFill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center"/>
    </xf>
    <xf numFmtId="177" fontId="4" fillId="9" borderId="1" xfId="0" applyNumberFormat="1" applyFont="1" applyFill="1" applyBorder="1" applyAlignment="1">
      <alignment horizontal="center"/>
    </xf>
    <xf numFmtId="0" fontId="4" fillId="9" borderId="1" xfId="0" applyFont="1" applyFill="1" applyBorder="1" applyAlignment="1">
      <alignment horizontal="left"/>
    </xf>
    <xf numFmtId="3" fontId="7" fillId="9" borderId="1" xfId="0" applyNumberFormat="1" applyFont="1" applyFill="1" applyBorder="1" applyAlignment="1">
      <alignment horizontal="right"/>
    </xf>
    <xf numFmtId="0" fontId="0" fillId="11" borderId="0" xfId="0" applyFill="1"/>
    <xf numFmtId="0" fontId="4" fillId="12" borderId="1" xfId="0" applyFont="1" applyFill="1" applyBorder="1" applyAlignment="1">
      <alignment horizontal="center"/>
    </xf>
    <xf numFmtId="0" fontId="8" fillId="12" borderId="1" xfId="0" applyFont="1" applyFill="1" applyBorder="1" applyAlignment="1">
      <alignment horizontal="center"/>
    </xf>
    <xf numFmtId="177" fontId="4" fillId="12" borderId="1" xfId="0" applyNumberFormat="1" applyFont="1" applyFill="1" applyBorder="1" applyAlignment="1">
      <alignment horizontal="center"/>
    </xf>
    <xf numFmtId="20" fontId="4" fillId="12" borderId="1" xfId="0" applyNumberFormat="1" applyFont="1" applyFill="1" applyBorder="1" applyAlignment="1">
      <alignment horizontal="center"/>
    </xf>
    <xf numFmtId="0" fontId="4" fillId="12" borderId="1" xfId="0" applyFont="1" applyFill="1" applyBorder="1" applyAlignment="1">
      <alignment horizontal="left"/>
    </xf>
    <xf numFmtId="0" fontId="8" fillId="12" borderId="1" xfId="0" applyFont="1" applyFill="1" applyBorder="1" applyAlignment="1">
      <alignment horizontal="left"/>
    </xf>
    <xf numFmtId="3" fontId="7" fillId="12" borderId="1" xfId="0" applyNumberFormat="1" applyFont="1" applyFill="1" applyBorder="1" applyAlignment="1">
      <alignment horizontal="right"/>
    </xf>
    <xf numFmtId="0" fontId="2" fillId="12" borderId="1" xfId="0" applyFont="1" applyFill="1" applyBorder="1"/>
    <xf numFmtId="178" fontId="2" fillId="11" borderId="1" xfId="0" applyNumberFormat="1" applyFont="1" applyFill="1" applyBorder="1"/>
    <xf numFmtId="0" fontId="2" fillId="11" borderId="1" xfId="0" applyFont="1" applyFill="1" applyBorder="1"/>
    <xf numFmtId="179" fontId="2" fillId="11" borderId="1" xfId="0" applyNumberFormat="1" applyFont="1" applyFill="1" applyBorder="1"/>
    <xf numFmtId="20" fontId="2" fillId="11" borderId="1" xfId="0" applyNumberFormat="1" applyFont="1" applyFill="1" applyBorder="1"/>
    <xf numFmtId="176" fontId="2" fillId="11" borderId="1" xfId="0" applyNumberFormat="1" applyFont="1" applyFill="1" applyBorder="1"/>
    <xf numFmtId="0" fontId="2" fillId="11" borderId="1" xfId="0" quotePrefix="1" applyFont="1" applyFill="1" applyBorder="1"/>
    <xf numFmtId="0" fontId="7" fillId="9" borderId="1" xfId="0" applyFont="1" applyFill="1" applyBorder="1" applyAlignment="1">
      <alignment horizontal="center"/>
    </xf>
    <xf numFmtId="20" fontId="4" fillId="9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left"/>
    </xf>
    <xf numFmtId="180" fontId="2" fillId="11" borderId="1" xfId="0" applyNumberFormat="1" applyFont="1" applyFill="1" applyBorder="1"/>
    <xf numFmtId="177" fontId="2" fillId="11" borderId="1" xfId="0" applyNumberFormat="1" applyFont="1" applyFill="1" applyBorder="1"/>
    <xf numFmtId="0" fontId="4" fillId="9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177" fontId="4" fillId="9" borderId="0" xfId="0" applyNumberFormat="1" applyFont="1" applyFill="1" applyAlignment="1">
      <alignment horizontal="center"/>
    </xf>
    <xf numFmtId="20" fontId="4" fillId="9" borderId="0" xfId="0" applyNumberFormat="1" applyFont="1" applyFill="1" applyAlignment="1">
      <alignment horizontal="center"/>
    </xf>
    <xf numFmtId="0" fontId="4" fillId="9" borderId="0" xfId="0" applyFont="1" applyFill="1" applyAlignment="1">
      <alignment horizontal="left"/>
    </xf>
    <xf numFmtId="3" fontId="7" fillId="9" borderId="0" xfId="0" applyNumberFormat="1" applyFont="1" applyFill="1" applyAlignment="1">
      <alignment horizontal="right"/>
    </xf>
    <xf numFmtId="0" fontId="8" fillId="9" borderId="0" xfId="0" applyFont="1" applyFill="1" applyAlignment="1">
      <alignment horizontal="left"/>
    </xf>
    <xf numFmtId="0" fontId="8" fillId="9" borderId="1" xfId="0" applyFont="1" applyFill="1" applyBorder="1" applyAlignment="1">
      <alignment horizontal="center"/>
    </xf>
    <xf numFmtId="180" fontId="4" fillId="9" borderId="1" xfId="0" applyNumberFormat="1" applyFont="1" applyFill="1" applyBorder="1" applyAlignment="1">
      <alignment horizontal="center"/>
    </xf>
    <xf numFmtId="0" fontId="2" fillId="11" borderId="0" xfId="0" applyFont="1" applyFill="1"/>
    <xf numFmtId="180" fontId="2" fillId="11" borderId="0" xfId="0" applyNumberFormat="1" applyFont="1" applyFill="1"/>
    <xf numFmtId="20" fontId="2" fillId="11" borderId="0" xfId="0" applyNumberFormat="1" applyFont="1" applyFill="1"/>
    <xf numFmtId="0" fontId="4" fillId="12" borderId="2" xfId="0" applyFont="1" applyFill="1" applyBorder="1" applyAlignment="1">
      <alignment horizontal="center"/>
    </xf>
    <xf numFmtId="0" fontId="8" fillId="12" borderId="2" xfId="0" applyFont="1" applyFill="1" applyBorder="1" applyAlignment="1">
      <alignment horizontal="center"/>
    </xf>
    <xf numFmtId="177" fontId="4" fillId="12" borderId="0" xfId="0" applyNumberFormat="1" applyFont="1" applyFill="1" applyAlignment="1">
      <alignment horizontal="center"/>
    </xf>
    <xf numFmtId="0" fontId="4" fillId="12" borderId="2" xfId="0" applyFont="1" applyFill="1" applyBorder="1" applyAlignment="1">
      <alignment horizontal="left"/>
    </xf>
    <xf numFmtId="0" fontId="4" fillId="12" borderId="0" xfId="0" applyFont="1" applyFill="1" applyAlignment="1">
      <alignment horizontal="left"/>
    </xf>
    <xf numFmtId="0" fontId="7" fillId="12" borderId="2" xfId="0" applyFont="1" applyFill="1" applyBorder="1" applyAlignment="1">
      <alignment horizontal="center"/>
    </xf>
    <xf numFmtId="21" fontId="4" fillId="12" borderId="2" xfId="0" applyNumberFormat="1" applyFont="1" applyFill="1" applyBorder="1" applyAlignment="1">
      <alignment horizontal="center"/>
    </xf>
    <xf numFmtId="178" fontId="2" fillId="11" borderId="0" xfId="0" applyNumberFormat="1" applyFont="1" applyFill="1"/>
    <xf numFmtId="0" fontId="7" fillId="12" borderId="0" xfId="0" applyFont="1" applyFill="1" applyAlignment="1">
      <alignment horizontal="center"/>
    </xf>
    <xf numFmtId="0" fontId="9" fillId="11" borderId="0" xfId="0" applyFont="1" applyFill="1" applyAlignment="1">
      <alignment horizontal="center"/>
    </xf>
    <xf numFmtId="180" fontId="9" fillId="11" borderId="0" xfId="0" applyNumberFormat="1" applyFont="1" applyFill="1" applyAlignment="1">
      <alignment horizontal="center"/>
    </xf>
    <xf numFmtId="20" fontId="9" fillId="11" borderId="0" xfId="0" applyNumberFormat="1" applyFont="1" applyFill="1" applyAlignment="1">
      <alignment horizontal="center"/>
    </xf>
    <xf numFmtId="0" fontId="2" fillId="11" borderId="0" xfId="0" quotePrefix="1" applyFont="1" applyFill="1"/>
    <xf numFmtId="0" fontId="4" fillId="12" borderId="0" xfId="0" applyFont="1" applyFill="1" applyAlignment="1">
      <alignment horizontal="center"/>
    </xf>
    <xf numFmtId="0" fontId="8" fillId="12" borderId="0" xfId="0" applyFont="1" applyFill="1" applyAlignment="1">
      <alignment horizontal="center"/>
    </xf>
    <xf numFmtId="20" fontId="4" fillId="12" borderId="0" xfId="0" applyNumberFormat="1" applyFont="1" applyFill="1" applyAlignment="1">
      <alignment horizontal="center"/>
    </xf>
    <xf numFmtId="0" fontId="8" fillId="12" borderId="0" xfId="0" applyFont="1" applyFill="1" applyAlignment="1">
      <alignment horizontal="left"/>
    </xf>
    <xf numFmtId="3" fontId="7" fillId="12" borderId="0" xfId="0" applyNumberFormat="1" applyFont="1" applyFill="1" applyAlignment="1">
      <alignment horizontal="right"/>
    </xf>
    <xf numFmtId="0" fontId="10" fillId="11" borderId="0" xfId="0" applyFont="1" applyFill="1"/>
  </cellXfs>
  <cellStyles count="1">
    <cellStyle name="표준" xfId="0" builtinId="0"/>
  </cellStyles>
  <dxfs count="4">
    <dxf>
      <fill>
        <patternFill patternType="solid">
          <fgColor rgb="FFFFF2CC"/>
          <bgColor rgb="FFFFF2CC"/>
        </patternFill>
      </fill>
    </dxf>
    <dxf>
      <fill>
        <patternFill patternType="solid">
          <fgColor rgb="FFF4CCCC"/>
          <bgColor rgb="FFF4CCCC"/>
        </patternFill>
      </fill>
    </dxf>
    <dxf>
      <fill>
        <patternFill patternType="solid">
          <fgColor rgb="FFC9DAF8"/>
          <bgColor rgb="FFC9DAF8"/>
        </patternFill>
      </fill>
    </dxf>
    <dxf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" TargetMode="External"/><Relationship Id="rId1" Type="http://schemas.openxmlformats.org/officeDocument/2006/relationships/hyperlink" Target="http://chatgp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6"/>
  <sheetViews>
    <sheetView tabSelected="1" workbookViewId="0">
      <selection activeCell="I15" sqref="I15"/>
    </sheetView>
  </sheetViews>
  <sheetFormatPr baseColWidth="10" defaultColWidth="12.6640625" defaultRowHeight="15.75" customHeight="1"/>
  <cols>
    <col min="3" max="3" width="18.6640625" customWidth="1"/>
    <col min="4" max="4" width="14.1640625" customWidth="1"/>
    <col min="6" max="6" width="11.83203125" customWidth="1"/>
    <col min="7" max="7" width="10.1640625" customWidth="1"/>
    <col min="8" max="8" width="34.5" customWidth="1"/>
    <col min="9" max="9" width="25.1640625" customWidth="1"/>
    <col min="10" max="10" width="26.6640625" customWidth="1"/>
    <col min="14" max="14" width="27.6640625" customWidth="1"/>
    <col min="15" max="15" width="21.1640625" customWidth="1"/>
    <col min="16" max="16" width="22.83203125" customWidth="1"/>
    <col min="21" max="21" width="39" customWidth="1"/>
  </cols>
  <sheetData>
    <row r="1" spans="1:26" ht="20">
      <c r="A1" s="1"/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>
      <c r="A2" s="3"/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3">
      <c r="A3" s="4"/>
      <c r="B3" s="5" t="s">
        <v>2</v>
      </c>
      <c r="C3" s="6"/>
      <c r="D3" s="6"/>
      <c r="E3" s="6"/>
      <c r="F3" s="6"/>
      <c r="G3" s="6"/>
      <c r="H3" s="6"/>
      <c r="I3" s="6"/>
      <c r="J3" s="4"/>
      <c r="K3" s="6"/>
      <c r="L3" s="7">
        <v>190000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3">
      <c r="A4" s="8"/>
      <c r="B4" s="9" t="s">
        <v>3</v>
      </c>
      <c r="C4" s="10"/>
      <c r="D4" s="10"/>
      <c r="E4" s="10"/>
      <c r="F4" s="10"/>
      <c r="G4" s="10"/>
      <c r="H4" s="10"/>
      <c r="I4" s="10"/>
      <c r="J4" s="8"/>
      <c r="K4" s="10"/>
      <c r="L4" s="11">
        <v>80000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3">
      <c r="A5" s="12" t="s">
        <v>4</v>
      </c>
      <c r="B5" s="13" t="s">
        <v>5</v>
      </c>
      <c r="C5" s="13" t="s">
        <v>6</v>
      </c>
      <c r="D5" s="13" t="s">
        <v>7</v>
      </c>
      <c r="E5" s="13" t="s">
        <v>8</v>
      </c>
      <c r="F5" s="13" t="s">
        <v>9</v>
      </c>
      <c r="G5" s="12" t="s">
        <v>10</v>
      </c>
      <c r="H5" s="13" t="s">
        <v>11</v>
      </c>
      <c r="I5" s="13" t="s">
        <v>12</v>
      </c>
      <c r="J5" s="12" t="s">
        <v>13</v>
      </c>
      <c r="K5" s="13" t="s">
        <v>14</v>
      </c>
      <c r="L5" s="13" t="s">
        <v>15</v>
      </c>
      <c r="M5" s="13" t="s">
        <v>16</v>
      </c>
      <c r="N5" s="13" t="s">
        <v>17</v>
      </c>
      <c r="O5" s="12" t="s">
        <v>18</v>
      </c>
      <c r="P5" s="12" t="s">
        <v>19</v>
      </c>
      <c r="Q5" s="12" t="s">
        <v>20</v>
      </c>
      <c r="R5" s="12" t="s">
        <v>21</v>
      </c>
      <c r="S5" s="12" t="s">
        <v>22</v>
      </c>
      <c r="T5" s="12" t="s">
        <v>23</v>
      </c>
      <c r="U5" s="13" t="s">
        <v>24</v>
      </c>
      <c r="V5" s="12" t="s">
        <v>25</v>
      </c>
      <c r="W5" s="12" t="s">
        <v>26</v>
      </c>
      <c r="X5" s="12" t="s">
        <v>27</v>
      </c>
      <c r="Y5" s="12" t="s">
        <v>28</v>
      </c>
      <c r="Z5" s="12" t="s">
        <v>29</v>
      </c>
    </row>
    <row r="6" spans="1:26" ht="13">
      <c r="A6" s="14"/>
      <c r="B6" s="15" t="s">
        <v>30</v>
      </c>
      <c r="C6" s="16" t="s">
        <v>31</v>
      </c>
      <c r="D6" s="16" t="s">
        <v>32</v>
      </c>
      <c r="E6" s="17">
        <v>46202</v>
      </c>
      <c r="F6" s="18">
        <v>0.45833333333333331</v>
      </c>
      <c r="G6" s="19" t="s">
        <v>33</v>
      </c>
      <c r="H6" s="20" t="s">
        <v>34</v>
      </c>
      <c r="I6" s="21" t="s">
        <v>35</v>
      </c>
      <c r="J6" s="14"/>
      <c r="K6" s="19" t="s">
        <v>36</v>
      </c>
      <c r="L6" s="22">
        <v>40000</v>
      </c>
      <c r="M6" s="23" t="s">
        <v>37</v>
      </c>
      <c r="N6" s="14" t="s">
        <v>38</v>
      </c>
      <c r="O6" s="14"/>
      <c r="P6" s="14"/>
      <c r="Q6" s="14" t="s">
        <v>31</v>
      </c>
      <c r="R6" s="14"/>
      <c r="S6" s="14"/>
      <c r="T6" s="14"/>
      <c r="U6" s="24" t="s">
        <v>39</v>
      </c>
      <c r="V6" s="14"/>
      <c r="W6" s="14"/>
      <c r="X6" s="14"/>
      <c r="Y6" s="14"/>
      <c r="Z6" s="14"/>
    </row>
    <row r="7" spans="1:26" ht="13">
      <c r="A7" s="14"/>
      <c r="B7" s="15" t="s">
        <v>30</v>
      </c>
      <c r="C7" s="19" t="s">
        <v>40</v>
      </c>
      <c r="D7" s="16" t="s">
        <v>32</v>
      </c>
      <c r="E7" s="17">
        <v>46202</v>
      </c>
      <c r="F7" s="18">
        <v>0.91666666666666663</v>
      </c>
      <c r="G7" s="16"/>
      <c r="H7" s="20" t="s">
        <v>41</v>
      </c>
      <c r="I7" s="21" t="s">
        <v>35</v>
      </c>
      <c r="J7" s="14"/>
      <c r="K7" s="16" t="s">
        <v>42</v>
      </c>
      <c r="L7" s="22">
        <v>10000</v>
      </c>
      <c r="M7" s="23" t="s">
        <v>37</v>
      </c>
      <c r="N7" s="14" t="s">
        <v>43</v>
      </c>
      <c r="O7" s="14"/>
      <c r="P7" s="14"/>
      <c r="Q7" s="24"/>
      <c r="R7" s="14"/>
      <c r="S7" s="14"/>
      <c r="T7" s="14"/>
      <c r="U7" s="24" t="s">
        <v>44</v>
      </c>
      <c r="V7" s="14"/>
      <c r="W7" s="14"/>
      <c r="X7" s="14"/>
      <c r="Y7" s="14"/>
      <c r="Z7" s="14"/>
    </row>
    <row r="8" spans="1:26" ht="13">
      <c r="A8" s="14"/>
      <c r="B8" s="15" t="s">
        <v>30</v>
      </c>
      <c r="C8" s="19" t="s">
        <v>45</v>
      </c>
      <c r="D8" s="16" t="s">
        <v>32</v>
      </c>
      <c r="E8" s="17">
        <v>46203</v>
      </c>
      <c r="F8" s="18">
        <v>0.45833333333333331</v>
      </c>
      <c r="G8" s="18">
        <v>0.79166666666666663</v>
      </c>
      <c r="H8" s="20" t="s">
        <v>46</v>
      </c>
      <c r="I8" s="20" t="s">
        <v>35</v>
      </c>
      <c r="J8" s="14"/>
      <c r="K8" s="19" t="s">
        <v>47</v>
      </c>
      <c r="L8" s="22">
        <v>70000</v>
      </c>
      <c r="M8" s="14" t="s">
        <v>48</v>
      </c>
      <c r="N8" s="14" t="s">
        <v>49</v>
      </c>
      <c r="O8" s="14"/>
      <c r="P8" s="14"/>
      <c r="Q8" s="14"/>
      <c r="R8" s="14"/>
      <c r="S8" s="14"/>
      <c r="T8" s="14"/>
      <c r="U8" s="25" t="s">
        <v>50</v>
      </c>
      <c r="V8" s="14"/>
      <c r="W8" s="14"/>
      <c r="X8" s="14"/>
      <c r="Y8" s="14"/>
      <c r="Z8" s="14"/>
    </row>
    <row r="9" spans="1:26" ht="13">
      <c r="A9" s="14"/>
      <c r="B9" s="15" t="s">
        <v>30</v>
      </c>
      <c r="C9" s="19" t="s">
        <v>51</v>
      </c>
      <c r="D9" s="16" t="s">
        <v>32</v>
      </c>
      <c r="E9" s="17">
        <v>46203</v>
      </c>
      <c r="F9" s="18">
        <v>0.54166666666666663</v>
      </c>
      <c r="G9" s="19"/>
      <c r="H9" s="20" t="s">
        <v>52</v>
      </c>
      <c r="I9" s="21" t="s">
        <v>35</v>
      </c>
      <c r="J9" s="14"/>
      <c r="K9" s="19" t="s">
        <v>53</v>
      </c>
      <c r="L9" s="22">
        <v>20000</v>
      </c>
      <c r="M9" s="14" t="s">
        <v>54</v>
      </c>
      <c r="N9" s="14" t="s">
        <v>55</v>
      </c>
      <c r="O9" s="14"/>
      <c r="P9" s="14"/>
      <c r="Q9" s="14" t="s">
        <v>51</v>
      </c>
      <c r="R9" s="14"/>
      <c r="S9" s="14"/>
      <c r="T9" s="14"/>
      <c r="U9" s="26" t="s">
        <v>56</v>
      </c>
      <c r="V9" s="14"/>
      <c r="W9" s="14"/>
      <c r="X9" s="14"/>
      <c r="Y9" s="14"/>
      <c r="Z9" s="14"/>
    </row>
    <row r="10" spans="1:26" ht="13">
      <c r="A10" s="14"/>
      <c r="B10" s="15" t="s">
        <v>30</v>
      </c>
      <c r="C10" s="19" t="s">
        <v>57</v>
      </c>
      <c r="D10" s="16" t="s">
        <v>32</v>
      </c>
      <c r="E10" s="17">
        <v>46204</v>
      </c>
      <c r="F10" s="18">
        <v>0.5625</v>
      </c>
      <c r="G10" s="19"/>
      <c r="H10" s="20" t="s">
        <v>58</v>
      </c>
      <c r="I10" s="21" t="s">
        <v>35</v>
      </c>
      <c r="J10" s="14"/>
      <c r="K10" s="19" t="s">
        <v>59</v>
      </c>
      <c r="L10" s="22">
        <v>40000</v>
      </c>
      <c r="M10" s="14" t="s">
        <v>37</v>
      </c>
      <c r="N10" s="14" t="s">
        <v>55</v>
      </c>
      <c r="O10" s="14"/>
      <c r="P10" s="14"/>
      <c r="Q10" s="14" t="s">
        <v>60</v>
      </c>
      <c r="R10" s="14"/>
      <c r="S10" s="14"/>
      <c r="T10" s="14"/>
      <c r="U10" s="26" t="s">
        <v>61</v>
      </c>
      <c r="V10" s="14"/>
      <c r="W10" s="14"/>
      <c r="X10" s="14"/>
      <c r="Y10" s="14"/>
      <c r="Z10" s="14"/>
    </row>
    <row r="11" spans="1:26" ht="17.25" customHeight="1">
      <c r="A11" s="14"/>
      <c r="B11" s="15" t="s">
        <v>30</v>
      </c>
      <c r="C11" s="14" t="s">
        <v>62</v>
      </c>
      <c r="D11" s="14" t="s">
        <v>63</v>
      </c>
      <c r="E11" s="27">
        <v>46206</v>
      </c>
      <c r="F11" s="14" t="s">
        <v>64</v>
      </c>
      <c r="G11" s="14" t="s">
        <v>65</v>
      </c>
      <c r="H11" s="25" t="s">
        <v>66</v>
      </c>
      <c r="I11" s="25" t="s">
        <v>67</v>
      </c>
      <c r="J11" s="14"/>
      <c r="K11" s="14" t="s">
        <v>68</v>
      </c>
      <c r="L11" s="22">
        <v>40000</v>
      </c>
      <c r="M11" s="14" t="s">
        <v>69</v>
      </c>
      <c r="N11" s="14" t="s">
        <v>70</v>
      </c>
      <c r="O11" s="14"/>
      <c r="P11" s="14"/>
      <c r="Q11" s="14" t="s">
        <v>62</v>
      </c>
      <c r="R11" s="14"/>
      <c r="S11" s="14"/>
      <c r="T11" s="14"/>
      <c r="U11" s="25" t="s">
        <v>71</v>
      </c>
      <c r="V11" s="14"/>
      <c r="W11" s="14"/>
      <c r="X11" s="14"/>
      <c r="Y11" s="14"/>
      <c r="Z11" s="14"/>
    </row>
    <row r="12" spans="1:26" ht="13">
      <c r="A12" s="14"/>
      <c r="B12" s="15" t="s">
        <v>30</v>
      </c>
      <c r="C12" s="14" t="s">
        <v>72</v>
      </c>
      <c r="D12" s="14" t="s">
        <v>32</v>
      </c>
      <c r="E12" s="27">
        <v>46207</v>
      </c>
      <c r="F12" s="28">
        <v>0.41666666666666669</v>
      </c>
      <c r="G12" s="29">
        <v>0.77083333333333337</v>
      </c>
      <c r="H12" s="25" t="s">
        <v>73</v>
      </c>
      <c r="I12" s="25" t="s">
        <v>35</v>
      </c>
      <c r="J12" s="14"/>
      <c r="K12" s="14" t="s">
        <v>74</v>
      </c>
      <c r="L12" s="22">
        <v>50000</v>
      </c>
      <c r="M12" s="14" t="s">
        <v>37</v>
      </c>
      <c r="N12" s="14" t="s">
        <v>38</v>
      </c>
      <c r="O12" s="14"/>
      <c r="P12" s="14"/>
      <c r="Q12" s="14" t="s">
        <v>72</v>
      </c>
      <c r="R12" s="14"/>
      <c r="S12" s="14"/>
      <c r="T12" s="14"/>
      <c r="U12" s="25" t="s">
        <v>75</v>
      </c>
      <c r="V12" s="14"/>
      <c r="W12" s="14"/>
      <c r="X12" s="14"/>
      <c r="Y12" s="14"/>
      <c r="Z12" s="14"/>
    </row>
    <row r="13" spans="1:26" ht="13">
      <c r="A13" s="14"/>
      <c r="B13" s="15" t="s">
        <v>30</v>
      </c>
      <c r="C13" s="14" t="s">
        <v>62</v>
      </c>
      <c r="D13" s="14" t="s">
        <v>76</v>
      </c>
      <c r="E13" s="27">
        <v>46208</v>
      </c>
      <c r="F13" s="14" t="s">
        <v>77</v>
      </c>
      <c r="G13" s="14" t="s">
        <v>65</v>
      </c>
      <c r="H13" s="25" t="s">
        <v>67</v>
      </c>
      <c r="I13" s="25" t="s">
        <v>78</v>
      </c>
      <c r="J13" s="14"/>
      <c r="K13" s="14" t="s">
        <v>68</v>
      </c>
      <c r="L13" s="22">
        <v>40000</v>
      </c>
      <c r="M13" s="14" t="s">
        <v>69</v>
      </c>
      <c r="N13" s="14" t="s">
        <v>79</v>
      </c>
      <c r="O13" s="14"/>
      <c r="P13" s="14"/>
      <c r="Q13" s="14"/>
      <c r="R13" s="14"/>
      <c r="S13" s="14"/>
      <c r="T13" s="14"/>
      <c r="U13" s="25" t="s">
        <v>80</v>
      </c>
      <c r="V13" s="14"/>
      <c r="W13" s="14"/>
      <c r="X13" s="14"/>
      <c r="Y13" s="14"/>
      <c r="Z13" s="14"/>
    </row>
    <row r="14" spans="1:26" ht="13">
      <c r="A14" s="30"/>
      <c r="B14" s="31" t="s">
        <v>81</v>
      </c>
      <c r="C14" s="30" t="s">
        <v>82</v>
      </c>
      <c r="D14" s="30" t="s">
        <v>32</v>
      </c>
      <c r="E14" s="32">
        <v>46210</v>
      </c>
      <c r="F14" s="33">
        <v>0.45833333333333331</v>
      </c>
      <c r="G14" s="33">
        <v>0.75</v>
      </c>
      <c r="H14" s="34" t="s">
        <v>83</v>
      </c>
      <c r="I14" s="35" t="s">
        <v>35</v>
      </c>
      <c r="J14" s="30"/>
      <c r="K14" s="30" t="s">
        <v>84</v>
      </c>
      <c r="L14" s="36">
        <v>30000</v>
      </c>
      <c r="M14" s="30" t="s">
        <v>37</v>
      </c>
      <c r="N14" s="30" t="s">
        <v>85</v>
      </c>
      <c r="O14" s="30"/>
      <c r="P14" s="30"/>
      <c r="Q14" s="30" t="s">
        <v>86</v>
      </c>
      <c r="R14" s="30"/>
      <c r="S14" s="30"/>
      <c r="T14" s="30"/>
      <c r="U14" s="34" t="s">
        <v>87</v>
      </c>
      <c r="V14" s="30"/>
      <c r="W14" s="30"/>
      <c r="X14" s="30"/>
      <c r="Y14" s="30"/>
      <c r="Z14" s="30"/>
    </row>
    <row r="15" spans="1:26" ht="13">
      <c r="A15" s="14"/>
      <c r="B15" s="15" t="s">
        <v>30</v>
      </c>
      <c r="C15" s="14" t="s">
        <v>62</v>
      </c>
      <c r="D15" s="14" t="s">
        <v>32</v>
      </c>
      <c r="E15" s="27">
        <v>46210</v>
      </c>
      <c r="F15" s="14" t="s">
        <v>65</v>
      </c>
      <c r="G15" s="29">
        <v>0.79166666666666663</v>
      </c>
      <c r="H15" s="25" t="s">
        <v>78</v>
      </c>
      <c r="I15" s="24" t="s">
        <v>35</v>
      </c>
      <c r="J15" s="14"/>
      <c r="K15" s="14" t="s">
        <v>68</v>
      </c>
      <c r="L15" s="22">
        <v>40000</v>
      </c>
      <c r="M15" s="14" t="s">
        <v>69</v>
      </c>
      <c r="N15" s="14" t="s">
        <v>88</v>
      </c>
      <c r="O15" s="14"/>
      <c r="P15" s="14"/>
      <c r="Q15" s="14"/>
      <c r="R15" s="14"/>
      <c r="S15" s="14"/>
      <c r="T15" s="14"/>
      <c r="U15" s="14" t="s">
        <v>79</v>
      </c>
      <c r="V15" s="14"/>
      <c r="W15" s="14"/>
      <c r="X15" s="14"/>
      <c r="Y15" s="14"/>
      <c r="Z15" s="14"/>
    </row>
    <row r="16" spans="1:26" s="63" customFormat="1" ht="13">
      <c r="A16" s="58"/>
      <c r="B16" s="59" t="s">
        <v>30</v>
      </c>
      <c r="C16" s="58" t="s">
        <v>89</v>
      </c>
      <c r="D16" s="58" t="s">
        <v>63</v>
      </c>
      <c r="E16" s="60">
        <v>46211</v>
      </c>
      <c r="F16" s="58" t="s">
        <v>90</v>
      </c>
      <c r="G16" s="58" t="s">
        <v>91</v>
      </c>
      <c r="H16" s="61" t="s">
        <v>66</v>
      </c>
      <c r="I16" s="61" t="s">
        <v>92</v>
      </c>
      <c r="J16" s="58"/>
      <c r="K16" s="58" t="s">
        <v>36</v>
      </c>
      <c r="L16" s="62">
        <v>40000</v>
      </c>
      <c r="M16" s="58" t="s">
        <v>37</v>
      </c>
      <c r="N16" s="58" t="s">
        <v>93</v>
      </c>
      <c r="O16" s="58"/>
      <c r="P16" s="58"/>
      <c r="Q16" s="58" t="s">
        <v>94</v>
      </c>
      <c r="R16" s="58"/>
      <c r="S16" s="58"/>
      <c r="T16" s="58"/>
      <c r="U16" s="61" t="s">
        <v>95</v>
      </c>
      <c r="V16" s="58"/>
      <c r="W16" s="58"/>
      <c r="X16" s="58"/>
      <c r="Y16" s="58"/>
      <c r="Z16" s="58"/>
    </row>
    <row r="17" spans="1:26" s="63" customFormat="1" ht="13">
      <c r="A17" s="64"/>
      <c r="B17" s="59" t="s">
        <v>30</v>
      </c>
      <c r="C17" s="64" t="s">
        <v>96</v>
      </c>
      <c r="D17" s="65" t="s">
        <v>32</v>
      </c>
      <c r="E17" s="66">
        <v>46211</v>
      </c>
      <c r="F17" s="65" t="s">
        <v>97</v>
      </c>
      <c r="G17" s="67">
        <v>0.75</v>
      </c>
      <c r="H17" s="68" t="s">
        <v>98</v>
      </c>
      <c r="I17" s="69" t="s">
        <v>99</v>
      </c>
      <c r="J17" s="64"/>
      <c r="K17" s="64" t="s">
        <v>100</v>
      </c>
      <c r="L17" s="70">
        <v>31000</v>
      </c>
      <c r="M17" s="64" t="s">
        <v>101</v>
      </c>
      <c r="N17" s="64" t="s">
        <v>102</v>
      </c>
      <c r="O17" s="64"/>
      <c r="P17" s="64"/>
      <c r="Q17" s="64" t="s">
        <v>103</v>
      </c>
      <c r="R17" s="64"/>
      <c r="S17" s="64"/>
      <c r="T17" s="64"/>
      <c r="U17" s="71" t="s">
        <v>104</v>
      </c>
      <c r="V17" s="64"/>
      <c r="W17" s="64"/>
      <c r="X17" s="64"/>
      <c r="Y17" s="64"/>
      <c r="Z17" s="64"/>
    </row>
    <row r="18" spans="1:26" s="63" customFormat="1" ht="13">
      <c r="A18" s="72">
        <v>46213.153693553242</v>
      </c>
      <c r="B18" s="59" t="s">
        <v>30</v>
      </c>
      <c r="C18" s="73" t="s">
        <v>105</v>
      </c>
      <c r="D18" s="73" t="s">
        <v>63</v>
      </c>
      <c r="E18" s="74">
        <v>46213</v>
      </c>
      <c r="F18" s="75">
        <v>0.27083333333333331</v>
      </c>
      <c r="G18" s="75">
        <v>0.66666666666666663</v>
      </c>
      <c r="H18" s="73" t="s">
        <v>35</v>
      </c>
      <c r="I18" s="73" t="s">
        <v>106</v>
      </c>
      <c r="J18" s="73" t="s">
        <v>107</v>
      </c>
      <c r="K18" s="73">
        <v>2</v>
      </c>
      <c r="L18" s="76">
        <v>20000</v>
      </c>
      <c r="M18" s="73" t="s">
        <v>69</v>
      </c>
      <c r="N18" s="77" t="s">
        <v>108</v>
      </c>
      <c r="O18" s="73" t="s">
        <v>109</v>
      </c>
      <c r="P18" s="77" t="s">
        <v>110</v>
      </c>
      <c r="Q18" s="73" t="s">
        <v>111</v>
      </c>
      <c r="R18" s="73" t="s">
        <v>112</v>
      </c>
      <c r="S18" s="73"/>
      <c r="T18" s="73"/>
      <c r="U18" s="73" t="s">
        <v>113</v>
      </c>
      <c r="V18" s="73"/>
      <c r="W18" s="73"/>
      <c r="X18" s="73"/>
      <c r="Y18" s="73"/>
      <c r="Z18" s="73"/>
    </row>
    <row r="19" spans="1:26" s="63" customFormat="1" ht="13">
      <c r="A19" s="58"/>
      <c r="B19" s="78" t="s">
        <v>81</v>
      </c>
      <c r="C19" s="58" t="s">
        <v>114</v>
      </c>
      <c r="D19" s="58" t="s">
        <v>32</v>
      </c>
      <c r="E19" s="60">
        <v>46213</v>
      </c>
      <c r="F19" s="79">
        <v>0.45833333333333331</v>
      </c>
      <c r="G19" s="58"/>
      <c r="H19" s="61" t="s">
        <v>115</v>
      </c>
      <c r="I19" s="80" t="s">
        <v>35</v>
      </c>
      <c r="J19" s="58"/>
      <c r="K19" s="58" t="s">
        <v>116</v>
      </c>
      <c r="L19" s="62">
        <v>60000</v>
      </c>
      <c r="M19" s="58" t="s">
        <v>37</v>
      </c>
      <c r="N19" s="58" t="s">
        <v>55</v>
      </c>
      <c r="O19" s="58"/>
      <c r="P19" s="58"/>
      <c r="Q19" s="58" t="s">
        <v>117</v>
      </c>
      <c r="R19" s="58"/>
      <c r="S19" s="58"/>
      <c r="T19" s="58"/>
      <c r="U19" s="61" t="s">
        <v>118</v>
      </c>
      <c r="V19" s="58"/>
      <c r="W19" s="58"/>
      <c r="X19" s="58"/>
      <c r="Y19" s="58"/>
      <c r="Z19" s="58"/>
    </row>
    <row r="20" spans="1:26" s="63" customFormat="1" ht="13">
      <c r="A20" s="81">
        <v>46215</v>
      </c>
      <c r="B20" s="59" t="s">
        <v>30</v>
      </c>
      <c r="C20" s="73" t="s">
        <v>119</v>
      </c>
      <c r="D20" s="73" t="s">
        <v>32</v>
      </c>
      <c r="E20" s="82">
        <v>46216</v>
      </c>
      <c r="F20" s="75">
        <v>0.45833333333333331</v>
      </c>
      <c r="G20" s="73" t="s">
        <v>120</v>
      </c>
      <c r="H20" s="73" t="s">
        <v>121</v>
      </c>
      <c r="I20" s="73" t="s">
        <v>122</v>
      </c>
      <c r="J20" s="73"/>
      <c r="K20" s="73" t="s">
        <v>123</v>
      </c>
      <c r="L20" s="73" t="s">
        <v>124</v>
      </c>
      <c r="M20" s="73" t="s">
        <v>125</v>
      </c>
      <c r="N20" s="73" t="s">
        <v>126</v>
      </c>
      <c r="O20" s="73"/>
      <c r="P20" s="73"/>
      <c r="Q20" s="73"/>
      <c r="R20" s="73" t="s">
        <v>112</v>
      </c>
      <c r="S20" s="73"/>
      <c r="T20" s="73"/>
      <c r="U20" s="73" t="s">
        <v>127</v>
      </c>
      <c r="V20" s="73"/>
      <c r="W20" s="73"/>
      <c r="X20" s="73"/>
      <c r="Y20" s="73"/>
      <c r="Z20" s="73"/>
    </row>
    <row r="21" spans="1:26" s="63" customFormat="1" ht="13">
      <c r="A21" s="83"/>
      <c r="B21" s="59" t="s">
        <v>30</v>
      </c>
      <c r="C21" s="84" t="s">
        <v>128</v>
      </c>
      <c r="D21" s="84" t="s">
        <v>76</v>
      </c>
      <c r="E21" s="85">
        <v>46217</v>
      </c>
      <c r="F21" s="86">
        <v>0.45833333333333331</v>
      </c>
      <c r="G21" s="83" t="s">
        <v>65</v>
      </c>
      <c r="H21" s="87" t="s">
        <v>129</v>
      </c>
      <c r="I21" s="87" t="s">
        <v>130</v>
      </c>
      <c r="J21" s="83" t="s">
        <v>131</v>
      </c>
      <c r="K21" s="83" t="s">
        <v>132</v>
      </c>
      <c r="L21" s="88">
        <v>20000</v>
      </c>
      <c r="M21" s="84" t="s">
        <v>37</v>
      </c>
      <c r="N21" s="83" t="s">
        <v>133</v>
      </c>
      <c r="O21" s="83"/>
      <c r="P21" s="83"/>
      <c r="Q21" s="83" t="s">
        <v>134</v>
      </c>
      <c r="R21" s="83"/>
      <c r="S21" s="83"/>
      <c r="T21" s="83"/>
      <c r="U21" s="89" t="s">
        <v>135</v>
      </c>
      <c r="V21" s="83"/>
      <c r="W21" s="83"/>
      <c r="X21" s="83"/>
      <c r="Y21" s="83"/>
      <c r="Z21" s="83"/>
    </row>
    <row r="22" spans="1:26" s="63" customFormat="1" ht="13">
      <c r="A22" s="81">
        <v>46216</v>
      </c>
      <c r="B22" s="59" t="s">
        <v>30</v>
      </c>
      <c r="C22" s="73" t="s">
        <v>136</v>
      </c>
      <c r="D22" s="73" t="s">
        <v>32</v>
      </c>
      <c r="E22" s="81">
        <v>46217</v>
      </c>
      <c r="F22" s="73" t="s">
        <v>137</v>
      </c>
      <c r="G22" s="73" t="s">
        <v>69</v>
      </c>
      <c r="H22" s="73" t="s">
        <v>138</v>
      </c>
      <c r="I22" s="73" t="s">
        <v>139</v>
      </c>
      <c r="J22" s="73" t="s">
        <v>140</v>
      </c>
      <c r="K22" s="73" t="s">
        <v>141</v>
      </c>
      <c r="L22" s="73">
        <v>60000</v>
      </c>
      <c r="M22" s="73" t="s">
        <v>142</v>
      </c>
      <c r="N22" s="73" t="s">
        <v>143</v>
      </c>
      <c r="O22" s="73"/>
      <c r="P22" s="73"/>
      <c r="Q22" s="73"/>
      <c r="R22" s="73" t="s">
        <v>112</v>
      </c>
      <c r="S22" s="73"/>
      <c r="T22" s="73"/>
      <c r="U22" s="73" t="s">
        <v>144</v>
      </c>
      <c r="V22" s="73"/>
      <c r="W22" s="73"/>
      <c r="X22" s="73"/>
      <c r="Y22" s="73"/>
      <c r="Z22" s="73"/>
    </row>
    <row r="23" spans="1:26" s="63" customFormat="1" ht="13">
      <c r="A23" s="58"/>
      <c r="B23" s="59" t="s">
        <v>30</v>
      </c>
      <c r="C23" s="90" t="s">
        <v>89</v>
      </c>
      <c r="D23" s="90" t="s">
        <v>32</v>
      </c>
      <c r="E23" s="60">
        <v>46218</v>
      </c>
      <c r="F23" s="58" t="s">
        <v>145</v>
      </c>
      <c r="G23" s="58"/>
      <c r="H23" s="61" t="s">
        <v>146</v>
      </c>
      <c r="I23" s="80" t="s">
        <v>35</v>
      </c>
      <c r="J23" s="58"/>
      <c r="K23" s="58" t="s">
        <v>36</v>
      </c>
      <c r="L23" s="62">
        <v>40000</v>
      </c>
      <c r="M23" s="90" t="s">
        <v>37</v>
      </c>
      <c r="N23" s="58" t="s">
        <v>55</v>
      </c>
      <c r="O23" s="58"/>
      <c r="P23" s="58"/>
      <c r="Q23" s="58" t="s">
        <v>94</v>
      </c>
      <c r="R23" s="58"/>
      <c r="S23" s="58"/>
      <c r="T23" s="58"/>
      <c r="U23" s="80" t="s">
        <v>147</v>
      </c>
      <c r="V23" s="58"/>
      <c r="W23" s="58"/>
      <c r="X23" s="58"/>
      <c r="Y23" s="58"/>
      <c r="Z23" s="58"/>
    </row>
    <row r="24" spans="1:26" s="63" customFormat="1" ht="13">
      <c r="A24" s="58"/>
      <c r="B24" s="59" t="s">
        <v>30</v>
      </c>
      <c r="C24" s="58" t="s">
        <v>148</v>
      </c>
      <c r="D24" s="90" t="s">
        <v>63</v>
      </c>
      <c r="E24" s="60">
        <v>46218</v>
      </c>
      <c r="F24" s="58"/>
      <c r="G24" s="58" t="s">
        <v>149</v>
      </c>
      <c r="H24" s="61" t="s">
        <v>66</v>
      </c>
      <c r="I24" s="61" t="s">
        <v>150</v>
      </c>
      <c r="J24" s="58"/>
      <c r="K24" s="58" t="s">
        <v>151</v>
      </c>
      <c r="L24" s="62">
        <v>20000</v>
      </c>
      <c r="M24" s="90" t="s">
        <v>37</v>
      </c>
      <c r="N24" s="58" t="s">
        <v>152</v>
      </c>
      <c r="O24" s="58"/>
      <c r="P24" s="58"/>
      <c r="Q24" s="58"/>
      <c r="R24" s="58"/>
      <c r="S24" s="58"/>
      <c r="T24" s="58"/>
      <c r="U24" s="80" t="s">
        <v>153</v>
      </c>
      <c r="V24" s="58"/>
      <c r="W24" s="58"/>
      <c r="X24" s="58"/>
      <c r="Y24" s="58"/>
      <c r="Z24" s="58"/>
    </row>
    <row r="25" spans="1:26" s="63" customFormat="1" ht="13">
      <c r="A25" s="91">
        <v>46218</v>
      </c>
      <c r="B25" s="59" t="s">
        <v>30</v>
      </c>
      <c r="C25" s="58" t="s">
        <v>154</v>
      </c>
      <c r="D25" s="90" t="s">
        <v>76</v>
      </c>
      <c r="E25" s="60">
        <v>46220</v>
      </c>
      <c r="F25" s="79">
        <v>0.46875</v>
      </c>
      <c r="G25" s="79">
        <v>0.625</v>
      </c>
      <c r="H25" s="61" t="s">
        <v>155</v>
      </c>
      <c r="I25" s="61" t="s">
        <v>156</v>
      </c>
      <c r="J25" s="58" t="s">
        <v>157</v>
      </c>
      <c r="K25" s="58" t="s">
        <v>158</v>
      </c>
      <c r="L25" s="62">
        <v>70000</v>
      </c>
      <c r="M25" s="90" t="s">
        <v>159</v>
      </c>
      <c r="N25" s="58"/>
      <c r="O25" s="58"/>
      <c r="P25" s="58"/>
      <c r="Q25" s="58"/>
      <c r="R25" s="58" t="s">
        <v>112</v>
      </c>
      <c r="S25" s="58"/>
      <c r="T25" s="58"/>
      <c r="U25" s="80" t="s">
        <v>160</v>
      </c>
      <c r="V25" s="58"/>
      <c r="W25" s="58"/>
      <c r="X25" s="58"/>
      <c r="Y25" s="58"/>
      <c r="Z25" s="58"/>
    </row>
    <row r="26" spans="1:26" s="63" customFormat="1" ht="13">
      <c r="A26" s="64"/>
      <c r="B26" s="59" t="s">
        <v>30</v>
      </c>
      <c r="C26" s="64" t="s">
        <v>161</v>
      </c>
      <c r="D26" s="64" t="s">
        <v>63</v>
      </c>
      <c r="E26" s="66">
        <v>46222</v>
      </c>
      <c r="F26" s="64" t="s">
        <v>69</v>
      </c>
      <c r="G26" s="64" t="s">
        <v>162</v>
      </c>
      <c r="H26" s="68" t="s">
        <v>66</v>
      </c>
      <c r="I26" s="68" t="s">
        <v>163</v>
      </c>
      <c r="J26" s="64"/>
      <c r="K26" s="64" t="s">
        <v>53</v>
      </c>
      <c r="L26" s="70">
        <v>20000</v>
      </c>
      <c r="M26" s="64" t="s">
        <v>37</v>
      </c>
      <c r="N26" s="64" t="s">
        <v>93</v>
      </c>
      <c r="O26" s="64"/>
      <c r="P26" s="64"/>
      <c r="Q26" s="64" t="s">
        <v>164</v>
      </c>
      <c r="R26" s="64"/>
      <c r="S26" s="64"/>
      <c r="T26" s="64"/>
      <c r="U26" s="68" t="s">
        <v>165</v>
      </c>
      <c r="V26" s="64"/>
      <c r="W26" s="64"/>
      <c r="X26" s="64"/>
      <c r="Y26" s="64"/>
      <c r="Z26" s="64"/>
    </row>
    <row r="27" spans="1:26" s="63" customFormat="1" ht="13">
      <c r="A27" s="72">
        <v>46219.750783819443</v>
      </c>
      <c r="B27" s="59" t="s">
        <v>30</v>
      </c>
      <c r="C27" s="73" t="s">
        <v>166</v>
      </c>
      <c r="D27" s="73" t="s">
        <v>32</v>
      </c>
      <c r="E27" s="81">
        <v>46223</v>
      </c>
      <c r="F27" s="75">
        <v>0.41666666666666669</v>
      </c>
      <c r="G27" s="75">
        <v>0.66666666666666663</v>
      </c>
      <c r="H27" s="73" t="s">
        <v>167</v>
      </c>
      <c r="I27" s="73" t="s">
        <v>35</v>
      </c>
      <c r="J27" s="73" t="s">
        <v>168</v>
      </c>
      <c r="K27" s="73">
        <v>2</v>
      </c>
      <c r="L27" s="73" t="s">
        <v>169</v>
      </c>
      <c r="M27" s="73" t="s">
        <v>37</v>
      </c>
      <c r="N27" s="73" t="s">
        <v>170</v>
      </c>
      <c r="O27" s="73" t="s">
        <v>171</v>
      </c>
      <c r="P27" s="77" t="s">
        <v>172</v>
      </c>
      <c r="Q27" s="73"/>
      <c r="R27" s="73" t="s">
        <v>112</v>
      </c>
      <c r="S27" s="73"/>
      <c r="T27" s="73"/>
      <c r="U27" s="92" t="s">
        <v>173</v>
      </c>
      <c r="V27" s="73"/>
      <c r="W27" s="73"/>
      <c r="X27" s="73"/>
      <c r="Y27" s="73"/>
      <c r="Z27" s="73"/>
    </row>
    <row r="28" spans="1:26" s="63" customFormat="1" ht="13">
      <c r="A28" s="81">
        <v>46222</v>
      </c>
      <c r="B28" s="59" t="s">
        <v>30</v>
      </c>
      <c r="C28" s="73" t="s">
        <v>174</v>
      </c>
      <c r="D28" s="73" t="s">
        <v>32</v>
      </c>
      <c r="E28" s="81">
        <v>46223</v>
      </c>
      <c r="F28" s="75">
        <v>0.45833333333333331</v>
      </c>
      <c r="G28" s="75"/>
      <c r="H28" s="73" t="s">
        <v>175</v>
      </c>
      <c r="I28" s="73" t="s">
        <v>139</v>
      </c>
      <c r="J28" s="73" t="s">
        <v>176</v>
      </c>
      <c r="K28" s="73">
        <v>7</v>
      </c>
      <c r="L28" s="73">
        <v>70000</v>
      </c>
      <c r="M28" s="73" t="s">
        <v>177</v>
      </c>
      <c r="N28" s="73" t="s">
        <v>178</v>
      </c>
      <c r="O28" s="73" t="s">
        <v>179</v>
      </c>
      <c r="P28" s="73" t="s">
        <v>180</v>
      </c>
      <c r="Q28" s="73" t="s">
        <v>181</v>
      </c>
      <c r="R28" s="73" t="s">
        <v>112</v>
      </c>
      <c r="S28" s="73"/>
      <c r="T28" s="73"/>
      <c r="U28" s="92" t="s">
        <v>182</v>
      </c>
      <c r="V28" s="73"/>
      <c r="W28" s="73"/>
      <c r="X28" s="73"/>
      <c r="Y28" s="73"/>
      <c r="Z28" s="73"/>
    </row>
    <row r="29" spans="1:26" s="63" customFormat="1" ht="13">
      <c r="A29" s="72">
        <v>46223.422768101853</v>
      </c>
      <c r="B29" s="59" t="s">
        <v>30</v>
      </c>
      <c r="C29" s="73" t="s">
        <v>183</v>
      </c>
      <c r="D29" s="73" t="s">
        <v>32</v>
      </c>
      <c r="E29" s="81">
        <v>46224</v>
      </c>
      <c r="F29" s="75">
        <v>0.45833333333333331</v>
      </c>
      <c r="G29" s="75">
        <v>0.71527777777777779</v>
      </c>
      <c r="H29" s="73" t="s">
        <v>184</v>
      </c>
      <c r="I29" s="73" t="s">
        <v>139</v>
      </c>
      <c r="J29" s="73" t="s">
        <v>185</v>
      </c>
      <c r="K29" s="73">
        <v>2</v>
      </c>
      <c r="L29" s="73">
        <v>20000</v>
      </c>
      <c r="M29" s="73" t="s">
        <v>186</v>
      </c>
      <c r="N29" s="73" t="s">
        <v>187</v>
      </c>
      <c r="O29" s="73" t="s">
        <v>188</v>
      </c>
      <c r="P29" s="77" t="s">
        <v>189</v>
      </c>
      <c r="Q29" s="73" t="s">
        <v>190</v>
      </c>
      <c r="R29" s="73" t="s">
        <v>112</v>
      </c>
      <c r="S29" s="73"/>
      <c r="T29" s="73"/>
      <c r="U29" s="92" t="s">
        <v>191</v>
      </c>
      <c r="V29" s="73"/>
      <c r="W29" s="73"/>
      <c r="X29" s="73"/>
      <c r="Y29" s="73"/>
      <c r="Z29" s="73" t="s">
        <v>192</v>
      </c>
    </row>
    <row r="30" spans="1:26" s="63" customFormat="1" ht="13">
      <c r="A30" s="93">
        <v>46223</v>
      </c>
      <c r="B30" s="59" t="s">
        <v>30</v>
      </c>
      <c r="C30" s="92" t="s">
        <v>193</v>
      </c>
      <c r="D30" s="92" t="s">
        <v>76</v>
      </c>
      <c r="E30" s="93">
        <v>46224</v>
      </c>
      <c r="F30" s="94">
        <v>0.45833333333333331</v>
      </c>
      <c r="G30" s="92"/>
      <c r="H30" s="92" t="s">
        <v>194</v>
      </c>
      <c r="I30" s="92" t="s">
        <v>195</v>
      </c>
      <c r="J30" s="92" t="s">
        <v>196</v>
      </c>
      <c r="K30" s="92">
        <v>3</v>
      </c>
      <c r="L30" s="92">
        <v>30000</v>
      </c>
      <c r="M30" s="92" t="s">
        <v>197</v>
      </c>
      <c r="N30" s="92"/>
      <c r="O30" s="92"/>
      <c r="P30" s="92"/>
      <c r="Q30" s="92" t="s">
        <v>193</v>
      </c>
      <c r="R30" s="92" t="s">
        <v>112</v>
      </c>
      <c r="S30" s="92"/>
      <c r="T30" s="92"/>
      <c r="U30" s="92" t="s">
        <v>198</v>
      </c>
      <c r="V30" s="92"/>
      <c r="W30" s="92"/>
      <c r="X30" s="92"/>
      <c r="Y30" s="92"/>
      <c r="Z30" s="92"/>
    </row>
    <row r="31" spans="1:26" s="63" customFormat="1" ht="13">
      <c r="A31" s="64"/>
      <c r="B31" s="59" t="s">
        <v>30</v>
      </c>
      <c r="C31" s="95" t="s">
        <v>161</v>
      </c>
      <c r="D31" s="96" t="s">
        <v>32</v>
      </c>
      <c r="E31" s="97">
        <v>46225</v>
      </c>
      <c r="F31" s="95" t="s">
        <v>69</v>
      </c>
      <c r="G31" s="95"/>
      <c r="H31" s="95"/>
      <c r="I31" s="98" t="s">
        <v>199</v>
      </c>
      <c r="J31" s="64"/>
      <c r="K31" s="95" t="s">
        <v>53</v>
      </c>
      <c r="L31" s="70">
        <v>20000</v>
      </c>
      <c r="M31" s="64" t="s">
        <v>37</v>
      </c>
      <c r="N31" s="64" t="s">
        <v>55</v>
      </c>
      <c r="O31" s="64"/>
      <c r="P31" s="64"/>
      <c r="Q31" s="64" t="s">
        <v>164</v>
      </c>
      <c r="R31" s="64"/>
      <c r="S31" s="64"/>
      <c r="T31" s="64"/>
      <c r="U31" s="99" t="s">
        <v>200</v>
      </c>
      <c r="V31" s="64"/>
      <c r="W31" s="64"/>
      <c r="X31" s="64"/>
      <c r="Y31" s="64"/>
      <c r="Z31" s="64"/>
    </row>
    <row r="32" spans="1:26" s="63" customFormat="1" ht="13">
      <c r="A32" s="64"/>
      <c r="B32" s="100" t="s">
        <v>81</v>
      </c>
      <c r="C32" s="95" t="s">
        <v>201</v>
      </c>
      <c r="D32" s="96" t="s">
        <v>32</v>
      </c>
      <c r="E32" s="97">
        <v>46228</v>
      </c>
      <c r="F32" s="101">
        <v>0.35416666666666669</v>
      </c>
      <c r="G32" s="95" t="s">
        <v>202</v>
      </c>
      <c r="H32" s="98" t="s">
        <v>203</v>
      </c>
      <c r="I32" s="98" t="s">
        <v>35</v>
      </c>
      <c r="J32" s="64"/>
      <c r="K32" s="95" t="s">
        <v>204</v>
      </c>
      <c r="L32" s="70">
        <v>40000</v>
      </c>
      <c r="M32" s="64" t="s">
        <v>37</v>
      </c>
      <c r="N32" s="64" t="s">
        <v>205</v>
      </c>
      <c r="O32" s="64"/>
      <c r="P32" s="64"/>
      <c r="Q32" s="64" t="s">
        <v>201</v>
      </c>
      <c r="R32" s="64"/>
      <c r="S32" s="64"/>
      <c r="T32" s="64"/>
      <c r="U32" s="99" t="s">
        <v>206</v>
      </c>
      <c r="V32" s="64"/>
      <c r="W32" s="64"/>
      <c r="X32" s="64"/>
      <c r="Y32" s="64"/>
      <c r="Z32" s="64"/>
    </row>
    <row r="33" spans="1:26" s="63" customFormat="1" ht="13">
      <c r="A33" s="102">
        <v>46213.800017094909</v>
      </c>
      <c r="B33" s="103" t="s">
        <v>30</v>
      </c>
      <c r="C33" s="104" t="s">
        <v>207</v>
      </c>
      <c r="D33" s="92" t="s">
        <v>32</v>
      </c>
      <c r="E33" s="105">
        <v>46228</v>
      </c>
      <c r="F33" s="106">
        <v>0.45833333333333331</v>
      </c>
      <c r="G33" s="94">
        <v>0.77083333333333337</v>
      </c>
      <c r="H33" s="92" t="s">
        <v>208</v>
      </c>
      <c r="I33" s="92" t="s">
        <v>35</v>
      </c>
      <c r="J33" s="92" t="s">
        <v>168</v>
      </c>
      <c r="K33" s="92">
        <v>2</v>
      </c>
      <c r="L33" s="92" t="s">
        <v>209</v>
      </c>
      <c r="M33" s="92" t="s">
        <v>210</v>
      </c>
      <c r="N33" s="107" t="s">
        <v>211</v>
      </c>
      <c r="O33" s="92" t="s">
        <v>212</v>
      </c>
      <c r="P33" s="107" t="s">
        <v>213</v>
      </c>
      <c r="Q33" s="92" t="s">
        <v>214</v>
      </c>
      <c r="R33" s="92" t="s">
        <v>112</v>
      </c>
      <c r="S33" s="92"/>
      <c r="T33" s="92"/>
      <c r="U33" s="92"/>
      <c r="V33" s="92"/>
      <c r="W33" s="92"/>
      <c r="X33" s="92"/>
      <c r="Y33" s="92"/>
      <c r="Z33" s="92"/>
    </row>
    <row r="34" spans="1:26" s="63" customFormat="1" ht="13">
      <c r="A34" s="108"/>
      <c r="B34" s="103" t="s">
        <v>30</v>
      </c>
      <c r="C34" s="108" t="s">
        <v>215</v>
      </c>
      <c r="D34" s="109" t="s">
        <v>76</v>
      </c>
      <c r="E34" s="97">
        <v>46230</v>
      </c>
      <c r="F34" s="110">
        <v>0.36458333333333331</v>
      </c>
      <c r="G34" s="108"/>
      <c r="H34" s="111" t="s">
        <v>216</v>
      </c>
      <c r="I34" s="111" t="s">
        <v>217</v>
      </c>
      <c r="J34" s="108"/>
      <c r="K34" s="108" t="s">
        <v>218</v>
      </c>
      <c r="L34" s="112">
        <v>30000</v>
      </c>
      <c r="M34" s="108" t="s">
        <v>219</v>
      </c>
      <c r="N34" s="108" t="s">
        <v>133</v>
      </c>
      <c r="O34" s="108"/>
      <c r="P34" s="108"/>
      <c r="Q34" s="108" t="s">
        <v>220</v>
      </c>
      <c r="R34" s="108"/>
      <c r="S34" s="108"/>
      <c r="T34" s="108"/>
      <c r="U34" s="99"/>
      <c r="V34" s="108"/>
      <c r="W34" s="108"/>
      <c r="X34" s="108"/>
      <c r="Y34" s="108"/>
      <c r="Z34" s="108"/>
    </row>
    <row r="35" spans="1:26" s="63" customFormat="1" ht="13">
      <c r="A35" s="102">
        <v>46225.647016377312</v>
      </c>
      <c r="B35" s="103" t="s">
        <v>30</v>
      </c>
      <c r="C35" s="92" t="s">
        <v>221</v>
      </c>
      <c r="D35" s="92" t="s">
        <v>76</v>
      </c>
      <c r="E35" s="93">
        <v>46230</v>
      </c>
      <c r="F35" s="94">
        <v>0.3888888888888889</v>
      </c>
      <c r="G35" s="94">
        <v>0.72916666666666663</v>
      </c>
      <c r="H35" s="92" t="s">
        <v>222</v>
      </c>
      <c r="I35" s="92" t="s">
        <v>223</v>
      </c>
      <c r="J35" s="92" t="s">
        <v>224</v>
      </c>
      <c r="K35" s="92">
        <v>3</v>
      </c>
      <c r="L35" s="92" t="s">
        <v>225</v>
      </c>
      <c r="M35" s="92" t="s">
        <v>69</v>
      </c>
      <c r="N35" s="107" t="s">
        <v>226</v>
      </c>
      <c r="O35" s="92" t="s">
        <v>227</v>
      </c>
      <c r="P35" s="107" t="s">
        <v>228</v>
      </c>
      <c r="Q35" s="92" t="s">
        <v>229</v>
      </c>
      <c r="R35" s="92" t="s">
        <v>112</v>
      </c>
      <c r="S35" s="92"/>
      <c r="T35" s="92"/>
      <c r="U35" s="92"/>
      <c r="V35" s="92"/>
      <c r="W35" s="92"/>
      <c r="X35" s="92"/>
      <c r="Y35" s="92"/>
      <c r="Z35" s="92" t="s">
        <v>230</v>
      </c>
    </row>
    <row r="36" spans="1:26" s="63" customFormat="1" ht="13">
      <c r="A36" s="102">
        <v>46217.46072800926</v>
      </c>
      <c r="B36" s="103" t="s">
        <v>30</v>
      </c>
      <c r="C36" s="92" t="s">
        <v>105</v>
      </c>
      <c r="D36" s="92" t="s">
        <v>32</v>
      </c>
      <c r="E36" s="93">
        <v>46230</v>
      </c>
      <c r="F36" s="94">
        <v>0.40972222222222221</v>
      </c>
      <c r="G36" s="94">
        <v>0.79166666666666663</v>
      </c>
      <c r="H36" s="92" t="s">
        <v>231</v>
      </c>
      <c r="I36" s="92" t="s">
        <v>35</v>
      </c>
      <c r="J36" s="92" t="s">
        <v>168</v>
      </c>
      <c r="K36" s="92">
        <v>7</v>
      </c>
      <c r="L36" s="92" t="s">
        <v>232</v>
      </c>
      <c r="M36" s="92" t="s">
        <v>233</v>
      </c>
      <c r="N36" s="92" t="s">
        <v>234</v>
      </c>
      <c r="O36" s="92" t="s">
        <v>235</v>
      </c>
      <c r="P36" s="107" t="s">
        <v>236</v>
      </c>
      <c r="Q36" s="92" t="s">
        <v>237</v>
      </c>
      <c r="R36" s="92" t="s">
        <v>112</v>
      </c>
      <c r="S36" s="92"/>
      <c r="T36" s="92"/>
      <c r="U36" s="92"/>
      <c r="V36" s="92"/>
      <c r="W36" s="92"/>
      <c r="X36" s="92"/>
      <c r="Y36" s="92"/>
      <c r="Z36" s="92"/>
    </row>
    <row r="37" spans="1:26" s="63" customFormat="1" ht="13">
      <c r="A37" s="102">
        <v>46229.986340995369</v>
      </c>
      <c r="B37" s="103" t="s">
        <v>30</v>
      </c>
      <c r="C37" s="92" t="s">
        <v>238</v>
      </c>
      <c r="D37" s="92" t="s">
        <v>32</v>
      </c>
      <c r="E37" s="93">
        <v>46230</v>
      </c>
      <c r="F37" s="94">
        <v>0.41666666666666669</v>
      </c>
      <c r="G37" s="94">
        <v>0.79166666666666663</v>
      </c>
      <c r="H37" s="92" t="s">
        <v>239</v>
      </c>
      <c r="I37" s="92" t="s">
        <v>35</v>
      </c>
      <c r="J37" s="92" t="s">
        <v>240</v>
      </c>
      <c r="K37" s="92">
        <v>3</v>
      </c>
      <c r="L37" s="92" t="s">
        <v>225</v>
      </c>
      <c r="M37" s="92" t="s">
        <v>69</v>
      </c>
      <c r="N37" s="107" t="s">
        <v>241</v>
      </c>
      <c r="O37" s="92" t="s">
        <v>242</v>
      </c>
      <c r="P37" s="107" t="s">
        <v>243</v>
      </c>
      <c r="Q37" s="92" t="s">
        <v>244</v>
      </c>
      <c r="R37" s="92" t="s">
        <v>112</v>
      </c>
      <c r="S37" s="92"/>
      <c r="T37" s="92"/>
      <c r="U37" s="92"/>
      <c r="V37" s="92"/>
      <c r="W37" s="113" t="s">
        <v>245</v>
      </c>
      <c r="X37" s="92"/>
      <c r="Y37" s="92"/>
      <c r="Z37" s="92" t="s">
        <v>246</v>
      </c>
    </row>
    <row r="38" spans="1:26" s="63" customFormat="1" ht="13">
      <c r="A38" s="102">
        <v>46224.922313912037</v>
      </c>
      <c r="B38" s="103" t="s">
        <v>30</v>
      </c>
      <c r="C38" s="92" t="s">
        <v>247</v>
      </c>
      <c r="D38" s="92" t="s">
        <v>32</v>
      </c>
      <c r="E38" s="93">
        <v>46231</v>
      </c>
      <c r="F38" s="94">
        <v>0.45833333333333331</v>
      </c>
      <c r="G38" s="94">
        <v>0.79166666666666663</v>
      </c>
      <c r="H38" s="92" t="s">
        <v>248</v>
      </c>
      <c r="I38" s="92" t="s">
        <v>35</v>
      </c>
      <c r="J38" s="92" t="s">
        <v>240</v>
      </c>
      <c r="K38" s="92">
        <v>3</v>
      </c>
      <c r="L38" s="92" t="s">
        <v>225</v>
      </c>
      <c r="M38" s="92" t="s">
        <v>69</v>
      </c>
      <c r="N38" s="107" t="s">
        <v>249</v>
      </c>
      <c r="O38" s="92" t="s">
        <v>250</v>
      </c>
      <c r="P38" s="107" t="s">
        <v>251</v>
      </c>
      <c r="Q38" s="92" t="s">
        <v>252</v>
      </c>
      <c r="R38" s="92" t="s">
        <v>112</v>
      </c>
      <c r="S38" s="92"/>
      <c r="T38" s="92"/>
      <c r="U38" s="92"/>
      <c r="V38" s="113" t="s">
        <v>253</v>
      </c>
      <c r="W38" s="92"/>
      <c r="X38" s="92"/>
      <c r="Y38" s="92"/>
      <c r="Z38" s="92" t="s">
        <v>230</v>
      </c>
    </row>
    <row r="39" spans="1:26" ht="13">
      <c r="A39" s="43"/>
      <c r="B39" s="47" t="s">
        <v>254</v>
      </c>
      <c r="C39" s="43" t="s">
        <v>255</v>
      </c>
      <c r="D39" s="44" t="s">
        <v>32</v>
      </c>
      <c r="E39" s="39">
        <v>46236</v>
      </c>
      <c r="F39" s="48">
        <v>0.41666666666666669</v>
      </c>
      <c r="G39" s="43"/>
      <c r="H39" s="40" t="s">
        <v>256</v>
      </c>
      <c r="I39" s="40" t="s">
        <v>35</v>
      </c>
      <c r="J39" s="43"/>
      <c r="K39" s="43" t="s">
        <v>257</v>
      </c>
      <c r="L39" s="46">
        <v>30000</v>
      </c>
      <c r="M39" s="43" t="s">
        <v>37</v>
      </c>
      <c r="N39" s="43" t="s">
        <v>55</v>
      </c>
      <c r="O39" s="43"/>
      <c r="P39" s="43"/>
      <c r="Q39" s="45"/>
      <c r="R39" s="43"/>
      <c r="S39" s="43"/>
      <c r="T39" s="43"/>
      <c r="U39" s="40"/>
      <c r="V39" s="43"/>
      <c r="W39" s="43"/>
      <c r="X39" s="43"/>
      <c r="Y39" s="43"/>
      <c r="Z39" s="43"/>
    </row>
    <row r="40" spans="1:26" ht="13">
      <c r="A40" s="43"/>
      <c r="B40" s="47" t="s">
        <v>254</v>
      </c>
      <c r="C40" s="43" t="s">
        <v>258</v>
      </c>
      <c r="D40" s="44" t="s">
        <v>63</v>
      </c>
      <c r="E40" s="39">
        <v>46242</v>
      </c>
      <c r="F40" s="43" t="s">
        <v>69</v>
      </c>
      <c r="G40" s="43" t="s">
        <v>259</v>
      </c>
      <c r="H40" s="40" t="s">
        <v>66</v>
      </c>
      <c r="I40" s="40" t="s">
        <v>260</v>
      </c>
      <c r="J40" s="43"/>
      <c r="K40" s="43" t="s">
        <v>261</v>
      </c>
      <c r="L40" s="46">
        <v>20000</v>
      </c>
      <c r="M40" s="43" t="s">
        <v>37</v>
      </c>
      <c r="N40" s="43" t="s">
        <v>262</v>
      </c>
      <c r="O40" s="43"/>
      <c r="P40" s="43"/>
      <c r="Q40" s="45" t="s">
        <v>258</v>
      </c>
      <c r="R40" s="43"/>
      <c r="S40" s="43"/>
      <c r="T40" s="43"/>
      <c r="U40" s="40" t="s">
        <v>263</v>
      </c>
      <c r="V40" s="43"/>
      <c r="W40" s="43"/>
      <c r="X40" s="43"/>
      <c r="Y40" s="43"/>
      <c r="Z40" s="43"/>
    </row>
    <row r="41" spans="1:26" ht="13">
      <c r="A41" s="43"/>
      <c r="B41" s="47" t="s">
        <v>254</v>
      </c>
      <c r="C41" s="43" t="s">
        <v>258</v>
      </c>
      <c r="D41" s="44" t="s">
        <v>32</v>
      </c>
      <c r="E41" s="39">
        <v>46244</v>
      </c>
      <c r="F41" s="48">
        <v>0.375</v>
      </c>
      <c r="G41" s="43"/>
      <c r="H41" s="43"/>
      <c r="I41" s="40" t="s">
        <v>35</v>
      </c>
      <c r="J41" s="43"/>
      <c r="K41" s="43" t="s">
        <v>261</v>
      </c>
      <c r="L41" s="46">
        <v>20000</v>
      </c>
      <c r="M41" s="43" t="s">
        <v>37</v>
      </c>
      <c r="N41" s="43" t="s">
        <v>55</v>
      </c>
      <c r="O41" s="43"/>
      <c r="P41" s="43"/>
      <c r="Q41" s="45" t="s">
        <v>258</v>
      </c>
      <c r="R41" s="43"/>
      <c r="S41" s="43"/>
      <c r="T41" s="43"/>
      <c r="U41" s="40" t="s">
        <v>264</v>
      </c>
      <c r="V41" s="43"/>
      <c r="W41" s="43"/>
      <c r="X41" s="43"/>
      <c r="Y41" s="43"/>
      <c r="Z41" s="43"/>
    </row>
    <row r="42" spans="1:26" ht="13">
      <c r="A42" s="49"/>
      <c r="B42" s="50" t="s">
        <v>265</v>
      </c>
      <c r="C42" s="49" t="s">
        <v>266</v>
      </c>
      <c r="D42" s="51" t="s">
        <v>32</v>
      </c>
      <c r="E42" s="52">
        <v>46251</v>
      </c>
      <c r="F42" s="51" t="s">
        <v>69</v>
      </c>
      <c r="G42" s="49"/>
      <c r="H42" s="53" t="s">
        <v>267</v>
      </c>
      <c r="I42" s="54" t="s">
        <v>35</v>
      </c>
      <c r="J42" s="49"/>
      <c r="K42" s="49" t="s">
        <v>68</v>
      </c>
      <c r="L42" s="55">
        <v>70000</v>
      </c>
      <c r="M42" s="51" t="s">
        <v>69</v>
      </c>
      <c r="N42" s="49" t="s">
        <v>268</v>
      </c>
      <c r="O42" s="49"/>
      <c r="P42" s="49"/>
      <c r="Q42" s="49" t="s">
        <v>266</v>
      </c>
      <c r="R42" s="49"/>
      <c r="S42" s="49"/>
      <c r="T42" s="49"/>
      <c r="U42" s="53" t="s">
        <v>269</v>
      </c>
      <c r="V42" s="49"/>
      <c r="W42" s="49"/>
      <c r="X42" s="49"/>
      <c r="Y42" s="49"/>
      <c r="Z42" s="49"/>
    </row>
    <row r="43" spans="1:26" ht="13">
      <c r="A43" s="41">
        <v>46222.36493596065</v>
      </c>
      <c r="B43" s="2" t="s">
        <v>265</v>
      </c>
      <c r="C43" s="2" t="s">
        <v>270</v>
      </c>
      <c r="D43" s="2" t="s">
        <v>76</v>
      </c>
      <c r="E43" s="37">
        <v>46255</v>
      </c>
      <c r="F43" s="38">
        <v>0.34027777777777779</v>
      </c>
      <c r="G43" s="38">
        <v>0.75</v>
      </c>
      <c r="H43" s="2" t="s">
        <v>271</v>
      </c>
      <c r="I43" s="2" t="s">
        <v>272</v>
      </c>
      <c r="J43" s="2" t="s">
        <v>224</v>
      </c>
      <c r="K43" s="2">
        <v>2</v>
      </c>
      <c r="L43" s="2" t="s">
        <v>273</v>
      </c>
      <c r="M43" s="2" t="s">
        <v>274</v>
      </c>
      <c r="N43" s="42" t="s">
        <v>226</v>
      </c>
      <c r="O43" s="2" t="s">
        <v>275</v>
      </c>
      <c r="P43" s="42" t="s">
        <v>276</v>
      </c>
      <c r="Q43" s="2"/>
      <c r="R43" s="2" t="s">
        <v>112</v>
      </c>
      <c r="S43" s="2"/>
      <c r="T43" s="2"/>
      <c r="U43" s="2"/>
      <c r="V43" s="2"/>
      <c r="W43" s="2"/>
      <c r="X43" s="2"/>
      <c r="Y43" s="2"/>
      <c r="Z43" s="2"/>
    </row>
    <row r="44" spans="1:26" ht="13">
      <c r="A44" s="49"/>
      <c r="B44" s="50" t="s">
        <v>265</v>
      </c>
      <c r="C44" s="49" t="s">
        <v>277</v>
      </c>
      <c r="D44" s="51" t="s">
        <v>32</v>
      </c>
      <c r="E44" s="52">
        <v>46261</v>
      </c>
      <c r="F44" s="51" t="s">
        <v>69</v>
      </c>
      <c r="G44" s="49"/>
      <c r="H44" s="53" t="s">
        <v>278</v>
      </c>
      <c r="I44" s="54" t="s">
        <v>35</v>
      </c>
      <c r="J44" s="49"/>
      <c r="K44" s="49" t="s">
        <v>53</v>
      </c>
      <c r="L44" s="55">
        <v>35000</v>
      </c>
      <c r="M44" s="51" t="s">
        <v>69</v>
      </c>
      <c r="N44" s="49" t="s">
        <v>268</v>
      </c>
      <c r="O44" s="49"/>
      <c r="P44" s="49"/>
      <c r="Q44" s="49"/>
      <c r="R44" s="49"/>
      <c r="S44" s="49"/>
      <c r="T44" s="49"/>
      <c r="U44" s="56" t="s">
        <v>279</v>
      </c>
      <c r="V44" s="49"/>
      <c r="W44" s="49"/>
      <c r="X44" s="49"/>
      <c r="Y44" s="49"/>
      <c r="Z44" s="49"/>
    </row>
    <row r="45" spans="1:26" ht="13">
      <c r="A45" s="49"/>
      <c r="B45" s="57" t="s">
        <v>265</v>
      </c>
      <c r="C45" s="49" t="s">
        <v>280</v>
      </c>
      <c r="D45" s="51" t="s">
        <v>32</v>
      </c>
      <c r="E45" s="52">
        <v>46263</v>
      </c>
      <c r="F45" s="51" t="s">
        <v>281</v>
      </c>
      <c r="G45" s="49"/>
      <c r="H45" s="53" t="s">
        <v>282</v>
      </c>
      <c r="I45" s="54" t="s">
        <v>35</v>
      </c>
      <c r="J45" s="49"/>
      <c r="K45" s="49" t="s">
        <v>283</v>
      </c>
      <c r="L45" s="55">
        <v>70000</v>
      </c>
      <c r="M45" s="51" t="s">
        <v>37</v>
      </c>
      <c r="N45" s="49" t="s">
        <v>284</v>
      </c>
      <c r="O45" s="49"/>
      <c r="P45" s="49"/>
      <c r="Q45" s="49" t="s">
        <v>285</v>
      </c>
      <c r="R45" s="49"/>
      <c r="S45" s="49"/>
      <c r="T45" s="49"/>
      <c r="U45" s="56" t="s">
        <v>286</v>
      </c>
      <c r="V45" s="49"/>
      <c r="W45" s="49"/>
      <c r="X45" s="49"/>
      <c r="Y45" s="49"/>
      <c r="Z45" s="49"/>
    </row>
    <row r="46" spans="1:26" ht="13">
      <c r="A46" s="49"/>
      <c r="B46" s="50" t="s">
        <v>265</v>
      </c>
      <c r="C46" s="49" t="s">
        <v>287</v>
      </c>
      <c r="D46" s="51" t="s">
        <v>32</v>
      </c>
      <c r="E46" s="52">
        <v>46283</v>
      </c>
      <c r="F46" s="51" t="s">
        <v>69</v>
      </c>
      <c r="G46" s="49"/>
      <c r="H46" s="53" t="s">
        <v>288</v>
      </c>
      <c r="I46" s="54" t="s">
        <v>35</v>
      </c>
      <c r="J46" s="49"/>
      <c r="K46" s="49" t="s">
        <v>36</v>
      </c>
      <c r="L46" s="55">
        <v>40000</v>
      </c>
      <c r="M46" s="49" t="s">
        <v>219</v>
      </c>
      <c r="N46" s="49" t="s">
        <v>289</v>
      </c>
      <c r="O46" s="49"/>
      <c r="P46" s="49"/>
      <c r="Q46" s="49"/>
      <c r="R46" s="49"/>
      <c r="S46" s="49"/>
      <c r="T46" s="49"/>
      <c r="U46" s="56" t="s">
        <v>290</v>
      </c>
      <c r="V46" s="49"/>
      <c r="W46" s="49"/>
      <c r="X46" s="49"/>
      <c r="Y46" s="49"/>
      <c r="Z46" s="49"/>
    </row>
  </sheetData>
  <autoFilter ref="A5:Z46" xr:uid="{00000000-0009-0000-0000-000000000000}">
    <sortState xmlns:xlrd2="http://schemas.microsoft.com/office/spreadsheetml/2017/richdata2" ref="A5:Z46">
      <sortCondition ref="E5:E46"/>
    </sortState>
  </autoFilter>
  <phoneticPr fontId="12" type="noConversion"/>
  <conditionalFormatting sqref="A6:Z979">
    <cfRule type="expression" dxfId="3" priority="1">
      <formula>REGEXMATCH($B6,"완료")</formula>
    </cfRule>
    <cfRule type="expression" dxfId="2" priority="2">
      <formula>REGEXMATCH($B6,"확정")</formula>
    </cfRule>
    <cfRule type="expression" dxfId="1" priority="3">
      <formula>REGEXMATCH($B6,"취소")</formula>
    </cfRule>
    <cfRule type="expression" dxfId="0" priority="4">
      <formula>REGEXMATCH($B6,"진행")</formula>
    </cfRule>
  </conditionalFormatting>
  <hyperlinks>
    <hyperlink ref="W37" r:id="rId1" xr:uid="{00000000-0004-0000-0000-000000000000}"/>
    <hyperlink ref="V38" r:id="rId2" xr:uid="{00000000-0004-0000-00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packnfly 예약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강용 심</cp:lastModifiedBy>
  <dcterms:created xsi:type="dcterms:W3CDTF">2026-07-30T06:50:56Z</dcterms:created>
  <dcterms:modified xsi:type="dcterms:W3CDTF">2026-07-30T06:53:16Z</dcterms:modified>
</cp:coreProperties>
</file>